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/>
  <mc:AlternateContent xmlns:mc="http://schemas.openxmlformats.org/markup-compatibility/2006">
    <mc:Choice Requires="x15">
      <x15ac:absPath xmlns:x15ac="http://schemas.microsoft.com/office/spreadsheetml/2010/11/ac" url="https://sotonac.sharepoint.com/teams/CORNERSTONETeam/Shared Documents/General/MPW_Fabrication/MPW_41_220nm_Passives_with_Heaters/Characterisation/"/>
    </mc:Choice>
  </mc:AlternateContent>
  <xr:revisionPtr revIDLastSave="1545" documentId="8_{06BD2085-ACBE-4C0F-A164-4C467999E8FD}" xr6:coauthVersionLast="47" xr6:coauthVersionMax="47" xr10:uidLastSave="{70705B91-78B0-468B-88B2-44EEF98F5473}"/>
  <bookViews>
    <workbookView xWindow="-120" yWindow="-120" windowWidth="29040" windowHeight="15720" firstSheet="8" activeTab="8" xr2:uid="{00000000-000D-0000-FFFF-FFFF00000000}"/>
    <workbookView xWindow="-120" yWindow="-120" windowWidth="29040" windowHeight="15720" firstSheet="7" activeTab="8" xr2:uid="{D62AE5A7-9DD5-4B2B-9405-DD3D4C790EF0}"/>
  </bookViews>
  <sheets>
    <sheet name="Slot 5  - dose" sheetId="35" r:id="rId1"/>
    <sheet name="Slot 7 - dose" sheetId="28" r:id="rId2"/>
    <sheet name="Slot 11 - dose" sheetId="31" r:id="rId3"/>
    <sheet name="Slot 12 - dose" sheetId="32" r:id="rId4"/>
    <sheet name="Slot 15 - dose" sheetId="33" r:id="rId5"/>
    <sheet name="Slot 16 - dose" sheetId="36" r:id="rId6"/>
    <sheet name="Slot 9 - dose" sheetId="37" r:id="rId7"/>
    <sheet name="SUMMARY - LOSS" sheetId="34" r:id="rId8"/>
    <sheet name="WAFERMAP - Dose Study _slots" sheetId="30" r:id="rId9"/>
    <sheet name="Wafermap - Dose Study -referenc" sheetId="29" r:id="rId10"/>
    <sheet name="MPW41 NEW- WaferMap Loss" sheetId="25" r:id="rId11"/>
    <sheet name="Wafermap - SLOT1" sheetId="27" r:id="rId12"/>
    <sheet name="PLAN" sheetId="17" r:id="rId13"/>
    <sheet name="Wafermap loss distribution" sheetId="15" r:id="rId14"/>
    <sheet name="Bottom notch (NEW) (2)" sheetId="24" r:id="rId15"/>
    <sheet name="Bottom notch (NEW)" sheetId="16" r:id="rId16"/>
    <sheet name="Sheet5" sheetId="20" r:id="rId17"/>
    <sheet name="Slot 7 " sheetId="4" r:id="rId18"/>
    <sheet name="Slot 11" sheetId="18" r:id="rId19"/>
    <sheet name="Slot 12" sheetId="19" r:id="rId20"/>
    <sheet name="Slot 15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7" l="1"/>
  <c r="I23" i="34"/>
  <c r="I18" i="34"/>
  <c r="I9" i="34"/>
  <c r="I14" i="34"/>
  <c r="C27" i="37"/>
  <c r="AJ104" i="30"/>
  <c r="AH102" i="30"/>
  <c r="AL106" i="30"/>
  <c r="AP104" i="30"/>
  <c r="AL104" i="30"/>
  <c r="AH104" i="30"/>
  <c r="AH108" i="30"/>
  <c r="AJ106" i="30"/>
  <c r="AH106" i="30"/>
  <c r="AL108" i="30"/>
  <c r="AP106" i="30"/>
  <c r="AP102" i="30"/>
  <c r="AL102" i="30"/>
  <c r="C36" i="37"/>
  <c r="C32" i="37"/>
  <c r="C18" i="34"/>
  <c r="O18" i="34"/>
  <c r="O9" i="34"/>
  <c r="O23" i="34"/>
  <c r="O14" i="34"/>
  <c r="C9" i="34"/>
  <c r="C14" i="34"/>
  <c r="C23" i="34"/>
  <c r="AP92" i="30"/>
  <c r="AL92" i="30"/>
  <c r="AP90" i="30"/>
  <c r="AL90" i="30"/>
  <c r="AH92" i="30"/>
  <c r="AJ90" i="30"/>
  <c r="AH90" i="30"/>
  <c r="AP88" i="30"/>
  <c r="AL88" i="30"/>
  <c r="AP86" i="30"/>
  <c r="AL86" i="30"/>
  <c r="AJ88" i="30"/>
  <c r="AH88" i="30"/>
  <c r="AH86" i="30"/>
  <c r="AH12" i="30"/>
  <c r="AJ10" i="30"/>
  <c r="AH10" i="30"/>
  <c r="AP12" i="30"/>
  <c r="AL12" i="30"/>
  <c r="AP10" i="30"/>
  <c r="AL10" i="30"/>
  <c r="AP8" i="30"/>
  <c r="AL8" i="30"/>
  <c r="AP6" i="30"/>
  <c r="AL6" i="30"/>
  <c r="AJ8" i="30"/>
  <c r="AH8" i="30"/>
  <c r="AH6" i="30"/>
  <c r="C40" i="36"/>
  <c r="C36" i="36"/>
  <c r="C32" i="36"/>
  <c r="C27" i="36"/>
  <c r="C40" i="35"/>
  <c r="C36" i="35"/>
  <c r="C32" i="35"/>
  <c r="C27" i="35"/>
  <c r="U23" i="34"/>
  <c r="U18" i="34"/>
  <c r="U14" i="34"/>
  <c r="U9" i="34"/>
  <c r="R23" i="34"/>
  <c r="R18" i="34"/>
  <c r="R14" i="34"/>
  <c r="R9" i="34"/>
  <c r="L23" i="34"/>
  <c r="L18" i="34"/>
  <c r="L14" i="34"/>
  <c r="L9" i="34"/>
  <c r="F23" i="34"/>
  <c r="F18" i="34"/>
  <c r="F14" i="34"/>
  <c r="F9" i="34"/>
  <c r="AJ57" i="30"/>
  <c r="AJ54" i="30"/>
  <c r="AH59" i="30"/>
  <c r="AN59" i="30"/>
  <c r="AL58" i="30"/>
  <c r="AP57" i="30"/>
  <c r="AM57" i="30"/>
  <c r="AN56" i="30"/>
  <c r="AK56" i="30"/>
  <c r="AL55" i="30"/>
  <c r="AP41" i="30"/>
  <c r="AM44" i="30"/>
  <c r="AL43" i="30"/>
  <c r="AG42" i="30"/>
  <c r="AI41" i="30"/>
  <c r="AJ40" i="30"/>
  <c r="AH40" i="30"/>
  <c r="AJ37" i="30"/>
  <c r="AL40" i="30"/>
  <c r="AH26" i="30"/>
  <c r="AP28" i="30"/>
  <c r="AL28" i="30"/>
  <c r="AN26" i="30"/>
  <c r="AL26" i="30"/>
  <c r="AP24" i="30"/>
  <c r="AP22" i="30"/>
  <c r="AL22" i="30"/>
  <c r="AJ24" i="30"/>
  <c r="AH24" i="30"/>
  <c r="AH22" i="30"/>
  <c r="AN75" i="30"/>
  <c r="AH75" i="30"/>
  <c r="AL74" i="30"/>
  <c r="AP73" i="30"/>
  <c r="AM73" i="30"/>
  <c r="AJ73" i="30"/>
  <c r="AG73" i="30"/>
  <c r="AN72" i="30"/>
  <c r="AL71" i="30"/>
  <c r="AJ70" i="30"/>
  <c r="C35" i="33" l="1"/>
  <c r="C32" i="33"/>
  <c r="C30" i="33"/>
  <c r="C25" i="33"/>
  <c r="C36" i="32"/>
  <c r="C33" i="32"/>
  <c r="C31" i="32"/>
  <c r="C26" i="32"/>
  <c r="C35" i="31"/>
  <c r="C30" i="31"/>
  <c r="C28" i="31"/>
  <c r="C24" i="31"/>
  <c r="C38" i="28"/>
  <c r="C34" i="28"/>
  <c r="C31" i="28"/>
  <c r="C26" i="28"/>
  <c r="E33" i="21"/>
  <c r="E19" i="21"/>
  <c r="CY12" i="25" l="1"/>
  <c r="CS12" i="25"/>
  <c r="CW11" i="25"/>
  <c r="DA10" i="25"/>
  <c r="CU10" i="25"/>
  <c r="CR10" i="25"/>
  <c r="CU7" i="25"/>
  <c r="CE12" i="25"/>
  <c r="BY12" i="25"/>
  <c r="CC11" i="25"/>
  <c r="CG10" i="25"/>
  <c r="CD10" i="25"/>
  <c r="CA10" i="25"/>
  <c r="CE9" i="25"/>
  <c r="CA7" i="25"/>
  <c r="BJ13" i="25"/>
  <c r="BI12" i="25"/>
  <c r="BD11" i="25"/>
  <c r="BM10" i="25"/>
  <c r="BF10" i="25"/>
  <c r="BI9" i="25"/>
  <c r="BG9" i="25"/>
  <c r="BE9" i="25"/>
  <c r="AO13" i="25"/>
  <c r="AK11" i="25"/>
  <c r="AS9" i="25"/>
  <c r="AM9" i="25"/>
  <c r="AK9" i="25"/>
  <c r="AO7" i="25"/>
  <c r="AK7" i="25"/>
  <c r="BX8" i="15" l="1"/>
  <c r="BR8" i="15"/>
  <c r="BV7" i="15"/>
  <c r="BZ6" i="15"/>
  <c r="BT6" i="15"/>
  <c r="BQ6" i="15"/>
  <c r="BT3" i="15"/>
  <c r="BI8" i="15"/>
  <c r="BC8" i="15"/>
  <c r="BG7" i="15"/>
  <c r="BK6" i="15"/>
  <c r="BH6" i="15"/>
  <c r="BE6" i="15"/>
  <c r="BI5" i="15"/>
  <c r="BE3" i="15"/>
  <c r="AU10" i="15"/>
  <c r="AS9" i="15"/>
  <c r="AR8" i="15"/>
  <c r="AM7" i="15"/>
  <c r="AV6" i="15"/>
  <c r="AO6" i="15"/>
  <c r="AR5" i="15"/>
  <c r="AP5" i="15"/>
  <c r="AN5" i="15"/>
  <c r="AB9" i="15"/>
  <c r="X7" i="15"/>
  <c r="AF5" i="15"/>
  <c r="Z5" i="15"/>
  <c r="X5" i="15"/>
  <c r="AB3" i="15"/>
  <c r="X3" i="15"/>
  <c r="E19" i="19"/>
  <c r="E19" i="18"/>
  <c r="E30" i="19"/>
  <c r="E30" i="18"/>
  <c r="E19" i="4"/>
  <c r="E11" i="17" l="1"/>
  <c r="E10" i="17"/>
  <c r="E5" i="17"/>
  <c r="E6" i="17"/>
  <c r="E7" i="17"/>
  <c r="E8" i="17"/>
  <c r="E9" i="17"/>
  <c r="E4" i="17"/>
  <c r="E30" i="4"/>
</calcChain>
</file>

<file path=xl/sharedStrings.xml><?xml version="1.0" encoding="utf-8"?>
<sst xmlns="http://schemas.openxmlformats.org/spreadsheetml/2006/main" count="586" uniqueCount="82">
  <si>
    <t>WAFER ID</t>
  </si>
  <si>
    <t>Platform</t>
  </si>
  <si>
    <t>Reticle title</t>
  </si>
  <si>
    <t>Slot</t>
  </si>
  <si>
    <t>Wavelength</t>
  </si>
  <si>
    <t xml:space="preserve">Wg length  </t>
  </si>
  <si>
    <t>No</t>
  </si>
  <si>
    <t>Waveguide</t>
  </si>
  <si>
    <t>Type</t>
  </si>
  <si>
    <t>Chip</t>
  </si>
  <si>
    <t>Propagation loss (dB/cm)</t>
  </si>
  <si>
    <t>MSE</t>
  </si>
  <si>
    <t>Date</t>
  </si>
  <si>
    <t>Status</t>
  </si>
  <si>
    <t>Comment</t>
  </si>
  <si>
    <t>Further action</t>
  </si>
  <si>
    <t>Straight</t>
  </si>
  <si>
    <t>wg5wg6 - fixed</t>
  </si>
  <si>
    <t>wg6-fixed</t>
  </si>
  <si>
    <t>wg1-fixed</t>
  </si>
  <si>
    <t xml:space="preserve">Dose (mJ) </t>
  </si>
  <si>
    <t>Loss (dB/cm)</t>
  </si>
  <si>
    <t>AVERAGE</t>
  </si>
  <si>
    <t>wg5-fixed</t>
  </si>
  <si>
    <t>wg5wg6-failed</t>
  </si>
  <si>
    <t>wg5wg6-fixed</t>
  </si>
  <si>
    <t>wg4,wg6</t>
  </si>
  <si>
    <t>wg4wg5 - fixed</t>
  </si>
  <si>
    <t>NOT VALID</t>
  </si>
  <si>
    <t>Different reticle , 698</t>
  </si>
  <si>
    <t>SLOT</t>
  </si>
  <si>
    <t>-</t>
  </si>
  <si>
    <t>SLOT 5</t>
  </si>
  <si>
    <t>22mJ</t>
  </si>
  <si>
    <t>24mJ</t>
  </si>
  <si>
    <t>26mJ</t>
  </si>
  <si>
    <t>28mJ</t>
  </si>
  <si>
    <t>CENTRE</t>
  </si>
  <si>
    <t>M</t>
  </si>
  <si>
    <t>MEASURED</t>
  </si>
  <si>
    <t>SLOT 7</t>
  </si>
  <si>
    <t>SLOT 11</t>
  </si>
  <si>
    <t>SLOT 12</t>
  </si>
  <si>
    <t>SLOT 15</t>
  </si>
  <si>
    <t>SLOT 16</t>
  </si>
  <si>
    <t>SLOT 9</t>
  </si>
  <si>
    <t>MPW40slot1</t>
  </si>
  <si>
    <t>SLOT 1</t>
  </si>
  <si>
    <t>RIB WGs</t>
  </si>
  <si>
    <t>14mJ</t>
  </si>
  <si>
    <t>17mJ</t>
  </si>
  <si>
    <t>X</t>
  </si>
  <si>
    <t>20mJ</t>
  </si>
  <si>
    <t>23mJ</t>
  </si>
  <si>
    <t>REFERENCE</t>
  </si>
  <si>
    <t>SLOT 7 - Avg. Loss = 4.39 dB/cm</t>
  </si>
  <si>
    <t>SLOT 11 - Avg. Loss = 5.04 dB/cm</t>
  </si>
  <si>
    <t>SLOT 12 - Avg. Loss = 4.72 dB/cm</t>
  </si>
  <si>
    <t>SLOT 15 - Avg. Loss = 4.97 dB/cm</t>
  </si>
  <si>
    <t>Columns</t>
  </si>
  <si>
    <t>Rows</t>
  </si>
  <si>
    <t>MPW41</t>
  </si>
  <si>
    <t>Wgs</t>
  </si>
  <si>
    <t xml:space="preserve">WGs </t>
  </si>
  <si>
    <t>No of Chips</t>
  </si>
  <si>
    <t>Duration</t>
  </si>
  <si>
    <t>Strip</t>
  </si>
  <si>
    <t>Rib</t>
  </si>
  <si>
    <t>mins</t>
  </si>
  <si>
    <t>hours</t>
  </si>
  <si>
    <t>(AVG. PROP LOSS = 4.39 DB/CM)</t>
  </si>
  <si>
    <t>(AVG. PROP LOSS = 5.04 DB/CM)</t>
  </si>
  <si>
    <t>(AVG. PROP LOSS = 4.72 DB/CM)</t>
  </si>
  <si>
    <t>(AVG. PROP LOSS = 4.97 DB/CM)</t>
  </si>
  <si>
    <t xml:space="preserve">WST </t>
  </si>
  <si>
    <t xml:space="preserve">wafer  </t>
  </si>
  <si>
    <t>row</t>
  </si>
  <si>
    <t>column</t>
  </si>
  <si>
    <t>220nm SOI</t>
  </si>
  <si>
    <t>Propagation loss (dB/cm)/ (dB/unit)</t>
  </si>
  <si>
    <t>remove wg5</t>
  </si>
  <si>
    <t>removed wg5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</si>
</sst>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indent="1"/>
    </xf>
    <xf numFmtId="0" fontId="0" fillId="3" borderId="0" xfId="0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12" fillId="0" borderId="0" xfId="0" applyFo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13" fillId="0" borderId="0" xfId="0" applyFont="1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inden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inden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1" fillId="15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/>
    <xf numFmtId="2" fontId="14" fillId="8" borderId="1" xfId="0" applyNumberFormat="1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2" fontId="14" fillId="1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2" fontId="0" fillId="9" borderId="18" xfId="0" applyNumberFormat="1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2" fontId="0" fillId="14" borderId="18" xfId="0" applyNumberFormat="1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2" fontId="0" fillId="15" borderId="18" xfId="0" applyNumberFormat="1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2" fontId="0" fillId="9" borderId="23" xfId="0" applyNumberFormat="1" applyFill="1" applyBorder="1" applyAlignment="1">
      <alignment horizontal="center"/>
    </xf>
    <xf numFmtId="2" fontId="0" fillId="9" borderId="24" xfId="0" applyNumberFormat="1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2" fontId="0" fillId="14" borderId="23" xfId="0" applyNumberFormat="1" applyFill="1" applyBorder="1" applyAlignment="1">
      <alignment horizontal="center"/>
    </xf>
    <xf numFmtId="2" fontId="0" fillId="14" borderId="24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2" fontId="0" fillId="15" borderId="23" xfId="0" applyNumberFormat="1" applyFill="1" applyBorder="1" applyAlignment="1">
      <alignment horizontal="center"/>
    </xf>
    <xf numFmtId="2" fontId="0" fillId="15" borderId="24" xfId="0" applyNumberFormat="1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2" fontId="0" fillId="9" borderId="26" xfId="0" applyNumberFormat="1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2" fontId="1" fillId="9" borderId="7" xfId="0" applyNumberFormat="1" applyFont="1" applyFill="1" applyBorder="1" applyAlignment="1">
      <alignment horizontal="center"/>
    </xf>
    <xf numFmtId="2" fontId="0" fillId="9" borderId="9" xfId="0" applyNumberFormat="1" applyFill="1" applyBorder="1" applyAlignment="1">
      <alignment horizontal="center"/>
    </xf>
    <xf numFmtId="0" fontId="0" fillId="14" borderId="25" xfId="0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2" fontId="0" fillId="14" borderId="26" xfId="0" applyNumberFormat="1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2" fontId="1" fillId="14" borderId="7" xfId="0" applyNumberFormat="1" applyFont="1" applyFill="1" applyBorder="1" applyAlignment="1">
      <alignment horizontal="center"/>
    </xf>
    <xf numFmtId="2" fontId="0" fillId="14" borderId="9" xfId="0" applyNumberForma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2" fontId="1" fillId="12" borderId="7" xfId="0" applyNumberFormat="1" applyFont="1" applyFill="1" applyBorder="1" applyAlignment="1">
      <alignment horizontal="center"/>
    </xf>
    <xf numFmtId="2" fontId="0" fillId="12" borderId="9" xfId="0" applyNumberFormat="1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2" fontId="0" fillId="15" borderId="2" xfId="0" applyNumberFormat="1" applyFill="1" applyBorder="1" applyAlignment="1">
      <alignment horizontal="center"/>
    </xf>
    <xf numFmtId="2" fontId="0" fillId="15" borderId="26" xfId="0" applyNumberForma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2" fontId="1" fillId="15" borderId="7" xfId="0" applyNumberFormat="1" applyFont="1" applyFill="1" applyBorder="1" applyAlignment="1">
      <alignment horizontal="center"/>
    </xf>
    <xf numFmtId="2" fontId="0" fillId="15" borderId="9" xfId="0" applyNumberForma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0" fillId="0" borderId="0" xfId="0" applyNumberFormat="1"/>
    <xf numFmtId="0" fontId="0" fillId="12" borderId="32" xfId="0" applyFill="1" applyBorder="1" applyAlignment="1">
      <alignment horizontal="center"/>
    </xf>
    <xf numFmtId="2" fontId="0" fillId="12" borderId="3" xfId="0" applyNumberFormat="1" applyFill="1" applyBorder="1" applyAlignment="1">
      <alignment horizontal="center"/>
    </xf>
    <xf numFmtId="2" fontId="0" fillId="12" borderId="33" xfId="0" applyNumberFormat="1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2" fontId="0" fillId="12" borderId="23" xfId="0" applyNumberFormat="1" applyFill="1" applyBorder="1" applyAlignment="1">
      <alignment horizontal="center"/>
    </xf>
    <xf numFmtId="2" fontId="0" fillId="12" borderId="24" xfId="0" applyNumberFormat="1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2" fontId="0" fillId="12" borderId="11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17" fillId="15" borderId="1" xfId="0" applyNumberFormat="1" applyFont="1" applyFill="1" applyBorder="1" applyAlignment="1">
      <alignment horizontal="center"/>
    </xf>
    <xf numFmtId="2" fontId="17" fillId="15" borderId="18" xfId="0" applyNumberFormat="1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15" borderId="21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14</xdr:row>
      <xdr:rowOff>9525</xdr:rowOff>
    </xdr:from>
    <xdr:to>
      <xdr:col>16</xdr:col>
      <xdr:colOff>438149</xdr:colOff>
      <xdr:row>14</xdr:row>
      <xdr:rowOff>361950</xdr:rowOff>
    </xdr:to>
    <xdr:sp macro="" textlink="">
      <xdr:nvSpPr>
        <xdr:cNvPr id="2" name="Flowchart: Delay 1">
          <a:extLst>
            <a:ext uri="{FF2B5EF4-FFF2-40B4-BE49-F238E27FC236}">
              <a16:creationId xmlns:a16="http://schemas.microsoft.com/office/drawing/2014/main" id="{5BA5D53D-C52B-4919-80CF-DC1F014ABBCF}"/>
            </a:ext>
          </a:extLst>
        </xdr:cNvPr>
        <xdr:cNvSpPr/>
      </xdr:nvSpPr>
      <xdr:spPr>
        <a:xfrm rot="16200000">
          <a:off x="7215187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38</xdr:col>
      <xdr:colOff>19050</xdr:colOff>
      <xdr:row>14</xdr:row>
      <xdr:rowOff>9525</xdr:rowOff>
    </xdr:from>
    <xdr:to>
      <xdr:col>38</xdr:col>
      <xdr:colOff>438149</xdr:colOff>
      <xdr:row>14</xdr:row>
      <xdr:rowOff>361950</xdr:rowOff>
    </xdr:to>
    <xdr:sp macro="" textlink="">
      <xdr:nvSpPr>
        <xdr:cNvPr id="3" name="Flowchart: Delay 2">
          <a:extLst>
            <a:ext uri="{FF2B5EF4-FFF2-40B4-BE49-F238E27FC236}">
              <a16:creationId xmlns:a16="http://schemas.microsoft.com/office/drawing/2014/main" id="{8F735EAA-E9FD-411F-86E0-DB13CDAB8432}"/>
            </a:ext>
          </a:extLst>
        </xdr:cNvPr>
        <xdr:cNvSpPr/>
      </xdr:nvSpPr>
      <xdr:spPr>
        <a:xfrm rot="16200000">
          <a:off x="17064037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58</xdr:col>
      <xdr:colOff>19050</xdr:colOff>
      <xdr:row>14</xdr:row>
      <xdr:rowOff>9525</xdr:rowOff>
    </xdr:from>
    <xdr:to>
      <xdr:col>58</xdr:col>
      <xdr:colOff>438149</xdr:colOff>
      <xdr:row>14</xdr:row>
      <xdr:rowOff>361950</xdr:rowOff>
    </xdr:to>
    <xdr:sp macro="" textlink="">
      <xdr:nvSpPr>
        <xdr:cNvPr id="4" name="Flowchart: Delay 3">
          <a:extLst>
            <a:ext uri="{FF2B5EF4-FFF2-40B4-BE49-F238E27FC236}">
              <a16:creationId xmlns:a16="http://schemas.microsoft.com/office/drawing/2014/main" id="{8956E971-222E-49DA-8AEA-3729AAE32614}"/>
            </a:ext>
          </a:extLst>
        </xdr:cNvPr>
        <xdr:cNvSpPr/>
      </xdr:nvSpPr>
      <xdr:spPr>
        <a:xfrm rot="16200000">
          <a:off x="26017537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78</xdr:col>
      <xdr:colOff>19050</xdr:colOff>
      <xdr:row>14</xdr:row>
      <xdr:rowOff>9525</xdr:rowOff>
    </xdr:from>
    <xdr:to>
      <xdr:col>78</xdr:col>
      <xdr:colOff>438149</xdr:colOff>
      <xdr:row>14</xdr:row>
      <xdr:rowOff>361950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637D969C-5C05-44E4-B8D7-9567D6466DEF}"/>
            </a:ext>
          </a:extLst>
        </xdr:cNvPr>
        <xdr:cNvSpPr/>
      </xdr:nvSpPr>
      <xdr:spPr>
        <a:xfrm rot="16200000">
          <a:off x="34971037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19050</xdr:colOff>
      <xdr:row>14</xdr:row>
      <xdr:rowOff>9525</xdr:rowOff>
    </xdr:from>
    <xdr:to>
      <xdr:col>16</xdr:col>
      <xdr:colOff>438149</xdr:colOff>
      <xdr:row>14</xdr:row>
      <xdr:rowOff>361950</xdr:rowOff>
    </xdr:to>
    <xdr:sp macro="" textlink="">
      <xdr:nvSpPr>
        <xdr:cNvPr id="10" name="Flowchart: Delay 9">
          <a:extLst>
            <a:ext uri="{FF2B5EF4-FFF2-40B4-BE49-F238E27FC236}">
              <a16:creationId xmlns:a16="http://schemas.microsoft.com/office/drawing/2014/main" id="{14090A93-A7BE-4FB1-962D-027803A20FCA}"/>
            </a:ext>
          </a:extLst>
        </xdr:cNvPr>
        <xdr:cNvSpPr/>
      </xdr:nvSpPr>
      <xdr:spPr>
        <a:xfrm rot="16200000">
          <a:off x="7256751" y="176926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58</xdr:col>
      <xdr:colOff>19050</xdr:colOff>
      <xdr:row>14</xdr:row>
      <xdr:rowOff>9525</xdr:rowOff>
    </xdr:from>
    <xdr:to>
      <xdr:col>58</xdr:col>
      <xdr:colOff>438149</xdr:colOff>
      <xdr:row>14</xdr:row>
      <xdr:rowOff>361950</xdr:rowOff>
    </xdr:to>
    <xdr:sp macro="" textlink="">
      <xdr:nvSpPr>
        <xdr:cNvPr id="11" name="Flowchart: Delay 10">
          <a:extLst>
            <a:ext uri="{FF2B5EF4-FFF2-40B4-BE49-F238E27FC236}">
              <a16:creationId xmlns:a16="http://schemas.microsoft.com/office/drawing/2014/main" id="{75865583-41DA-4501-8961-90FF9662915F}"/>
            </a:ext>
          </a:extLst>
        </xdr:cNvPr>
        <xdr:cNvSpPr/>
      </xdr:nvSpPr>
      <xdr:spPr>
        <a:xfrm rot="16200000">
          <a:off x="17162751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78</xdr:col>
      <xdr:colOff>19050</xdr:colOff>
      <xdr:row>14</xdr:row>
      <xdr:rowOff>9525</xdr:rowOff>
    </xdr:from>
    <xdr:to>
      <xdr:col>78</xdr:col>
      <xdr:colOff>438149</xdr:colOff>
      <xdr:row>14</xdr:row>
      <xdr:rowOff>361950</xdr:rowOff>
    </xdr:to>
    <xdr:sp macro="" textlink="">
      <xdr:nvSpPr>
        <xdr:cNvPr id="12" name="Flowchart: Delay 11">
          <a:extLst>
            <a:ext uri="{FF2B5EF4-FFF2-40B4-BE49-F238E27FC236}">
              <a16:creationId xmlns:a16="http://schemas.microsoft.com/office/drawing/2014/main" id="{6309386E-EE0A-41B5-A78F-070607A1C2B4}"/>
            </a:ext>
          </a:extLst>
        </xdr:cNvPr>
        <xdr:cNvSpPr/>
      </xdr:nvSpPr>
      <xdr:spPr>
        <a:xfrm rot="16200000">
          <a:off x="17162751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98</xdr:col>
      <xdr:colOff>19050</xdr:colOff>
      <xdr:row>14</xdr:row>
      <xdr:rowOff>9525</xdr:rowOff>
    </xdr:from>
    <xdr:to>
      <xdr:col>98</xdr:col>
      <xdr:colOff>438149</xdr:colOff>
      <xdr:row>14</xdr:row>
      <xdr:rowOff>361950</xdr:rowOff>
    </xdr:to>
    <xdr:sp macro="" textlink="">
      <xdr:nvSpPr>
        <xdr:cNvPr id="13" name="Flowchart: Delay 12">
          <a:extLst>
            <a:ext uri="{FF2B5EF4-FFF2-40B4-BE49-F238E27FC236}">
              <a16:creationId xmlns:a16="http://schemas.microsoft.com/office/drawing/2014/main" id="{38C9F76F-51AE-4FAC-A9E4-FA27DD4231D3}"/>
            </a:ext>
          </a:extLst>
        </xdr:cNvPr>
        <xdr:cNvSpPr/>
      </xdr:nvSpPr>
      <xdr:spPr>
        <a:xfrm rot="16200000">
          <a:off x="35173660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98</xdr:col>
      <xdr:colOff>19050</xdr:colOff>
      <xdr:row>14</xdr:row>
      <xdr:rowOff>9525</xdr:rowOff>
    </xdr:from>
    <xdr:to>
      <xdr:col>98</xdr:col>
      <xdr:colOff>438149</xdr:colOff>
      <xdr:row>14</xdr:row>
      <xdr:rowOff>361950</xdr:rowOff>
    </xdr:to>
    <xdr:sp macro="" textlink="">
      <xdr:nvSpPr>
        <xdr:cNvPr id="14" name="Flowchart: Delay 13">
          <a:extLst>
            <a:ext uri="{FF2B5EF4-FFF2-40B4-BE49-F238E27FC236}">
              <a16:creationId xmlns:a16="http://schemas.microsoft.com/office/drawing/2014/main" id="{EC7BE4F6-3CE2-4912-8521-F2095D1D7F29}"/>
            </a:ext>
          </a:extLst>
        </xdr:cNvPr>
        <xdr:cNvSpPr/>
      </xdr:nvSpPr>
      <xdr:spPr>
        <a:xfrm rot="16200000">
          <a:off x="35173660" y="7977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299676</xdr:colOff>
      <xdr:row>24</xdr:row>
      <xdr:rowOff>162064</xdr:rowOff>
    </xdr:from>
    <xdr:to>
      <xdr:col>17</xdr:col>
      <xdr:colOff>160955</xdr:colOff>
      <xdr:row>33</xdr:row>
      <xdr:rowOff>553301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E1A71-B8D1-4D3C-82D0-70A20995E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351" y="13878064"/>
          <a:ext cx="7024079" cy="5534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16</xdr:row>
      <xdr:rowOff>9525</xdr:rowOff>
    </xdr:from>
    <xdr:to>
      <xdr:col>12</xdr:col>
      <xdr:colOff>438149</xdr:colOff>
      <xdr:row>16</xdr:row>
      <xdr:rowOff>361950</xdr:rowOff>
    </xdr:to>
    <xdr:sp macro="" textlink="">
      <xdr:nvSpPr>
        <xdr:cNvPr id="2" name="Flowchart: Delay 1">
          <a:extLst>
            <a:ext uri="{FF2B5EF4-FFF2-40B4-BE49-F238E27FC236}">
              <a16:creationId xmlns:a16="http://schemas.microsoft.com/office/drawing/2014/main" id="{46695995-F6BE-4B1A-A947-2B058DF256A9}"/>
            </a:ext>
          </a:extLst>
        </xdr:cNvPr>
        <xdr:cNvSpPr/>
      </xdr:nvSpPr>
      <xdr:spPr>
        <a:xfrm rot="16200000">
          <a:off x="5424487" y="9120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35</xdr:col>
      <xdr:colOff>19050</xdr:colOff>
      <xdr:row>16</xdr:row>
      <xdr:rowOff>9525</xdr:rowOff>
    </xdr:from>
    <xdr:to>
      <xdr:col>35</xdr:col>
      <xdr:colOff>438149</xdr:colOff>
      <xdr:row>16</xdr:row>
      <xdr:rowOff>361950</xdr:rowOff>
    </xdr:to>
    <xdr:sp macro="" textlink="">
      <xdr:nvSpPr>
        <xdr:cNvPr id="4" name="Flowchart: Delay 3">
          <a:extLst>
            <a:ext uri="{FF2B5EF4-FFF2-40B4-BE49-F238E27FC236}">
              <a16:creationId xmlns:a16="http://schemas.microsoft.com/office/drawing/2014/main" id="{CF7DAB50-8DE0-48C2-98C6-609688F258A1}"/>
            </a:ext>
          </a:extLst>
        </xdr:cNvPr>
        <xdr:cNvSpPr/>
      </xdr:nvSpPr>
      <xdr:spPr>
        <a:xfrm rot="16200000">
          <a:off x="5440816" y="9120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16</xdr:row>
      <xdr:rowOff>9525</xdr:rowOff>
    </xdr:from>
    <xdr:to>
      <xdr:col>12</xdr:col>
      <xdr:colOff>438149</xdr:colOff>
      <xdr:row>16</xdr:row>
      <xdr:rowOff>361950</xdr:rowOff>
    </xdr:to>
    <xdr:sp macro="" textlink="">
      <xdr:nvSpPr>
        <xdr:cNvPr id="2" name="Flowchart: Delay 1">
          <a:extLst>
            <a:ext uri="{FF2B5EF4-FFF2-40B4-BE49-F238E27FC236}">
              <a16:creationId xmlns:a16="http://schemas.microsoft.com/office/drawing/2014/main" id="{BFF934CA-5FB4-43AC-A6D2-DC2C139BA104}"/>
            </a:ext>
          </a:extLst>
        </xdr:cNvPr>
        <xdr:cNvSpPr/>
      </xdr:nvSpPr>
      <xdr:spPr>
        <a:xfrm rot="16200000">
          <a:off x="5424487" y="9120188"/>
          <a:ext cx="352425" cy="419099"/>
        </a:xfrm>
        <a:prstGeom prst="flowChartDelay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8F9F-DF86-4354-96F6-E5C8285C01AB}">
  <dimension ref="A1:J40"/>
  <sheetViews>
    <sheetView topLeftCell="A19" zoomScale="130" zoomScaleNormal="130" workbookViewId="0">
      <selection activeCell="B47" sqref="B47"/>
    </sheetView>
    <sheetView workbookViewId="1"/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7" max="7" width="12.5703125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5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8</v>
      </c>
      <c r="E5" s="5">
        <v>5.3469286060422005</v>
      </c>
      <c r="F5" s="5">
        <v>3.0592889616855246E-2</v>
      </c>
      <c r="G5" s="191">
        <v>45813</v>
      </c>
      <c r="H5" s="12"/>
      <c r="I5" s="3"/>
      <c r="J5" s="12"/>
    </row>
    <row r="6" spans="1:10">
      <c r="A6" s="3">
        <v>2</v>
      </c>
      <c r="B6" s="7"/>
      <c r="C6" s="101"/>
      <c r="D6" s="3">
        <v>12</v>
      </c>
      <c r="E6" s="5">
        <v>8.6189027012636554</v>
      </c>
      <c r="F6" s="5">
        <v>6.8842848011627211E-2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16</v>
      </c>
      <c r="E7" s="5">
        <v>8.1633818582284032</v>
      </c>
      <c r="F7" s="5">
        <v>5.1931010940279521E-2</v>
      </c>
      <c r="G7" s="6"/>
      <c r="H7" s="12"/>
      <c r="I7" s="3" t="s">
        <v>17</v>
      </c>
      <c r="J7" s="12"/>
    </row>
    <row r="8" spans="1:10">
      <c r="A8" s="3">
        <v>4</v>
      </c>
      <c r="B8" s="7"/>
      <c r="C8" s="101"/>
      <c r="D8" s="3">
        <v>33</v>
      </c>
      <c r="E8" s="5">
        <v>4.795825021543429</v>
      </c>
      <c r="F8" s="5">
        <v>3.3622595387441834E-2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35</v>
      </c>
      <c r="E9" s="5">
        <v>5.2665889038384117</v>
      </c>
      <c r="F9" s="5">
        <v>1.4916906640337402E-2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37</v>
      </c>
      <c r="E10" s="5">
        <v>8.4013352113930537</v>
      </c>
      <c r="F10" s="5">
        <v>0.13407391979308159</v>
      </c>
      <c r="G10" s="6"/>
      <c r="H10" s="12"/>
      <c r="I10" s="3"/>
      <c r="J10" s="12"/>
    </row>
    <row r="11" spans="1:10">
      <c r="A11" s="3">
        <v>7</v>
      </c>
      <c r="B11" s="7"/>
      <c r="C11" s="101"/>
      <c r="D11" s="3">
        <v>41</v>
      </c>
      <c r="E11" s="5">
        <v>8.0028449702498623</v>
      </c>
      <c r="F11" s="5">
        <v>3.6268594409193611E-2</v>
      </c>
      <c r="G11" s="6"/>
      <c r="H11" s="12"/>
      <c r="I11" s="3" t="s">
        <v>18</v>
      </c>
      <c r="J11" s="12"/>
    </row>
    <row r="12" spans="1:10">
      <c r="A12" s="3">
        <v>8</v>
      </c>
      <c r="B12" s="7"/>
      <c r="C12" s="101"/>
      <c r="D12" s="3">
        <v>59</v>
      </c>
      <c r="E12" s="5">
        <v>5.7121413431431289</v>
      </c>
      <c r="F12" s="5">
        <v>2.0440519488602149E-2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61</v>
      </c>
      <c r="E13" s="5">
        <v>5.7012176993770183</v>
      </c>
      <c r="F13" s="5">
        <v>6.7994550654475461E-2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63</v>
      </c>
      <c r="E14" s="15">
        <v>6.7016684972078</v>
      </c>
      <c r="F14" s="15">
        <v>4.2181948723282403E-2</v>
      </c>
      <c r="G14" s="16"/>
      <c r="H14" s="17"/>
      <c r="I14" s="4"/>
      <c r="J14" s="17"/>
    </row>
    <row r="15" spans="1:10">
      <c r="A15" s="3">
        <v>11</v>
      </c>
      <c r="B15" s="7"/>
      <c r="C15" s="101"/>
      <c r="D15" s="4">
        <v>67</v>
      </c>
      <c r="E15" s="15">
        <v>6.6207461955105984</v>
      </c>
      <c r="F15" s="15">
        <v>7.5842604392164503E-2</v>
      </c>
      <c r="G15" s="16"/>
      <c r="H15" s="17"/>
      <c r="I15" s="4" t="s">
        <v>18</v>
      </c>
      <c r="J15" s="17"/>
    </row>
    <row r="16" spans="1:10">
      <c r="A16" s="3">
        <v>12</v>
      </c>
      <c r="B16" s="7"/>
      <c r="C16" s="7"/>
      <c r="D16" s="4">
        <v>84</v>
      </c>
      <c r="E16" s="15">
        <v>5.5739141311532645</v>
      </c>
      <c r="F16" s="15">
        <v>6.0228033852278408E-2</v>
      </c>
      <c r="G16" s="6"/>
      <c r="H16" s="12"/>
      <c r="I16" s="4" t="s">
        <v>19</v>
      </c>
      <c r="J16" s="12"/>
    </row>
    <row r="17" spans="1:10">
      <c r="A17" s="3">
        <v>13</v>
      </c>
      <c r="B17" s="7"/>
      <c r="C17" s="7"/>
      <c r="D17" s="4">
        <v>88</v>
      </c>
      <c r="E17" s="15">
        <v>6.4793117777238516</v>
      </c>
      <c r="F17" s="15">
        <v>6.5128094405736192E-2</v>
      </c>
      <c r="G17" s="6"/>
      <c r="H17" s="12"/>
      <c r="I17" s="3"/>
      <c r="J17" s="12"/>
    </row>
    <row r="18" spans="1:10">
      <c r="A18" s="3">
        <v>14</v>
      </c>
      <c r="B18" s="8"/>
      <c r="C18" s="8"/>
      <c r="D18" s="117">
        <v>92</v>
      </c>
      <c r="E18" s="5">
        <v>8.6975148253180414</v>
      </c>
      <c r="F18" s="5">
        <v>0.15427714356519573</v>
      </c>
      <c r="G18" s="6"/>
      <c r="H18" s="12"/>
      <c r="I18" s="3" t="s">
        <v>18</v>
      </c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12</v>
      </c>
      <c r="C23" s="103">
        <v>8.6189027012636554</v>
      </c>
      <c r="D23" s="103">
        <v>6.8842848011627211E-2</v>
      </c>
    </row>
    <row r="24" spans="1:10">
      <c r="A24" s="208"/>
      <c r="B24" s="102">
        <v>16</v>
      </c>
      <c r="C24" s="103">
        <v>8.1633818582284032</v>
      </c>
      <c r="D24" s="103">
        <v>5.1931010940279521E-2</v>
      </c>
    </row>
    <row r="25" spans="1:10">
      <c r="A25" s="208"/>
      <c r="B25" s="102">
        <v>37</v>
      </c>
      <c r="C25" s="103">
        <v>8.4013352113930537</v>
      </c>
      <c r="D25" s="103">
        <v>0.13407391979308159</v>
      </c>
    </row>
    <row r="26" spans="1:10">
      <c r="A26" s="208"/>
      <c r="B26" s="102">
        <v>41</v>
      </c>
      <c r="C26" s="103">
        <v>8.0028449702498623</v>
      </c>
      <c r="D26" s="103">
        <v>3.6268594409193611E-2</v>
      </c>
    </row>
    <row r="27" spans="1:10">
      <c r="A27" s="209"/>
      <c r="B27" s="104" t="s">
        <v>22</v>
      </c>
      <c r="C27" s="105">
        <f>AVERAGE(C23:C26)</f>
        <v>8.2966161852837441</v>
      </c>
      <c r="D27" s="103"/>
    </row>
    <row r="28" spans="1:10">
      <c r="A28" s="210">
        <v>24</v>
      </c>
      <c r="B28" s="106">
        <v>63</v>
      </c>
      <c r="C28" s="107">
        <v>6.7016684972078</v>
      </c>
      <c r="D28" s="107">
        <v>4.2181948723282403E-2</v>
      </c>
    </row>
    <row r="29" spans="1:10">
      <c r="A29" s="211"/>
      <c r="B29" s="106">
        <v>67</v>
      </c>
      <c r="C29" s="107">
        <v>6.6207461955105984</v>
      </c>
      <c r="D29" s="107">
        <v>7.5842604392164503E-2</v>
      </c>
    </row>
    <row r="30" spans="1:10">
      <c r="A30" s="211"/>
      <c r="B30" s="106">
        <v>88</v>
      </c>
      <c r="C30" s="107">
        <v>6.4793117777238516</v>
      </c>
      <c r="D30" s="107">
        <v>6.5128094405736192E-2</v>
      </c>
    </row>
    <row r="31" spans="1:10">
      <c r="A31" s="211"/>
      <c r="B31" s="106">
        <v>92</v>
      </c>
      <c r="C31" s="107">
        <v>8.6975148253180414</v>
      </c>
      <c r="D31" s="107">
        <v>0.15427714356519573</v>
      </c>
    </row>
    <row r="32" spans="1:10">
      <c r="A32" s="212"/>
      <c r="B32" s="108" t="s">
        <v>22</v>
      </c>
      <c r="C32" s="109">
        <f>AVERAGE(C28:C31)</f>
        <v>7.1248103239400731</v>
      </c>
      <c r="D32" s="107"/>
    </row>
    <row r="33" spans="1:4">
      <c r="A33" s="213">
        <v>26</v>
      </c>
      <c r="B33" s="110">
        <v>59</v>
      </c>
      <c r="C33" s="111">
        <v>5.7121413431431289</v>
      </c>
      <c r="D33" s="111">
        <v>2.0440519488602149E-2</v>
      </c>
    </row>
    <row r="34" spans="1:4">
      <c r="A34" s="214"/>
      <c r="B34" s="110">
        <v>61</v>
      </c>
      <c r="C34" s="111">
        <v>5.7012176993770183</v>
      </c>
      <c r="D34" s="111">
        <v>6.7994550654475461E-2</v>
      </c>
    </row>
    <row r="35" spans="1:4">
      <c r="A35" s="214"/>
      <c r="B35" s="110">
        <v>84</v>
      </c>
      <c r="C35" s="111">
        <v>5.5739141311532645</v>
      </c>
      <c r="D35" s="111">
        <v>6.0228033852278408E-2</v>
      </c>
    </row>
    <row r="36" spans="1:4">
      <c r="A36" s="215"/>
      <c r="B36" s="112" t="s">
        <v>22</v>
      </c>
      <c r="C36" s="113">
        <f>AVERAGE(C33:C35)</f>
        <v>5.6624243912244703</v>
      </c>
      <c r="D36" s="111"/>
    </row>
    <row r="37" spans="1:4">
      <c r="A37" s="216">
        <v>28</v>
      </c>
      <c r="B37" s="114">
        <v>8</v>
      </c>
      <c r="C37" s="115">
        <v>5.3469286060422005</v>
      </c>
      <c r="D37" s="115">
        <v>3.0592889616855246E-2</v>
      </c>
    </row>
    <row r="38" spans="1:4">
      <c r="A38" s="217"/>
      <c r="B38" s="114">
        <v>33</v>
      </c>
      <c r="C38" s="115">
        <v>4.795825021543429</v>
      </c>
      <c r="D38" s="115">
        <v>3.3622595387441834E-2</v>
      </c>
    </row>
    <row r="39" spans="1:4">
      <c r="A39" s="217"/>
      <c r="B39" s="114">
        <v>35</v>
      </c>
      <c r="C39" s="115">
        <v>5.2665889038384117</v>
      </c>
      <c r="D39" s="115">
        <v>1.4916906640337402E-2</v>
      </c>
    </row>
    <row r="40" spans="1:4">
      <c r="A40" s="218"/>
      <c r="B40" s="114" t="s">
        <v>22</v>
      </c>
      <c r="C40" s="116">
        <f>AVERAGE(C37:C39)</f>
        <v>5.1364475104746807</v>
      </c>
      <c r="D40" s="115"/>
    </row>
  </sheetData>
  <mergeCells count="4">
    <mergeCell ref="A28:A32"/>
    <mergeCell ref="A37:A40"/>
    <mergeCell ref="A23:A27"/>
    <mergeCell ref="A33:A36"/>
  </mergeCells>
  <conditionalFormatting sqref="F5:F18">
    <cfRule type="cellIs" dxfId="15" priority="1" operator="greater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95B9-24EF-4757-8A15-21CFC338A006}">
  <dimension ref="A1:J38"/>
  <sheetViews>
    <sheetView topLeftCell="A14" zoomScale="115" zoomScaleNormal="115" workbookViewId="0">
      <selection activeCell="B23" sqref="B23"/>
    </sheetView>
    <sheetView topLeftCell="A12" workbookViewId="1">
      <selection activeCell="A22" sqref="A22:D38"/>
    </sheetView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7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8</v>
      </c>
      <c r="E5" s="5">
        <v>3.8016985390000002</v>
      </c>
      <c r="F5" s="5">
        <v>6.5715203E-2</v>
      </c>
      <c r="G5" s="6"/>
      <c r="H5" s="12"/>
      <c r="I5" s="3"/>
      <c r="J5" s="12"/>
    </row>
    <row r="6" spans="1:10">
      <c r="A6" s="3">
        <v>2</v>
      </c>
      <c r="B6" s="7"/>
      <c r="C6" s="101"/>
      <c r="D6" s="3">
        <v>12</v>
      </c>
      <c r="E6" s="5">
        <v>4.5594943580000002</v>
      </c>
      <c r="F6" s="5">
        <v>8.2247903999999997E-2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16</v>
      </c>
      <c r="E7" s="5">
        <v>4.5676044988506277</v>
      </c>
      <c r="F7" s="5">
        <v>3.133323493602802E-2</v>
      </c>
      <c r="G7" s="6"/>
      <c r="H7" s="12"/>
      <c r="I7" s="3" t="s">
        <v>18</v>
      </c>
      <c r="J7" s="12"/>
    </row>
    <row r="8" spans="1:10">
      <c r="A8" s="3">
        <v>4</v>
      </c>
      <c r="B8" s="7"/>
      <c r="C8" s="101"/>
      <c r="D8" s="3">
        <v>33</v>
      </c>
      <c r="E8" s="5">
        <v>3.9804322679999999</v>
      </c>
      <c r="F8" s="5">
        <v>2.8292244000000001E-2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35</v>
      </c>
      <c r="E9" s="5">
        <v>4.9293884849999996</v>
      </c>
      <c r="F9" s="5">
        <v>3.4349449999999997E-2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37</v>
      </c>
      <c r="E10" s="5">
        <v>7.3287724550756748</v>
      </c>
      <c r="F10" s="5">
        <v>0.14295156172496112</v>
      </c>
      <c r="G10" s="6"/>
      <c r="H10" s="12"/>
      <c r="I10" s="3" t="s">
        <v>23</v>
      </c>
      <c r="J10" s="12"/>
    </row>
    <row r="11" spans="1:10">
      <c r="A11" s="3">
        <v>7</v>
      </c>
      <c r="B11" s="7"/>
      <c r="C11" s="101"/>
      <c r="D11" s="3">
        <v>41</v>
      </c>
      <c r="E11" s="5">
        <v>4.7918199350000004</v>
      </c>
      <c r="F11" s="5">
        <v>1.8803199E-2</v>
      </c>
      <c r="G11" s="6"/>
      <c r="H11" s="12"/>
      <c r="I11" s="3"/>
      <c r="J11" s="12"/>
    </row>
    <row r="12" spans="1:10">
      <c r="A12" s="3">
        <v>8</v>
      </c>
      <c r="B12" s="7"/>
      <c r="C12" s="101"/>
      <c r="D12" s="3">
        <v>59</v>
      </c>
      <c r="E12" s="5">
        <v>4.6096069079999999</v>
      </c>
      <c r="F12" s="5">
        <v>5.4239010999999997E-2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63</v>
      </c>
      <c r="E13" s="5">
        <v>5.40520160478109</v>
      </c>
      <c r="F13" s="5">
        <v>1.1621005678534857E-2</v>
      </c>
      <c r="G13" s="6"/>
      <c r="H13" s="12"/>
      <c r="I13" s="3" t="s">
        <v>18</v>
      </c>
      <c r="J13" s="12"/>
    </row>
    <row r="14" spans="1:10">
      <c r="A14" s="3">
        <v>10</v>
      </c>
      <c r="B14" s="7"/>
      <c r="C14" s="101"/>
      <c r="D14" s="4">
        <v>65</v>
      </c>
      <c r="E14" s="15">
        <v>4.6602054958804366</v>
      </c>
      <c r="F14" s="15">
        <v>6.9539105330477469E-2</v>
      </c>
      <c r="G14" s="16"/>
      <c r="H14" s="17"/>
      <c r="I14" s="4" t="s">
        <v>23</v>
      </c>
      <c r="J14" s="17"/>
    </row>
    <row r="15" spans="1:10">
      <c r="A15" s="3">
        <v>11</v>
      </c>
      <c r="B15" s="7"/>
      <c r="C15" s="101"/>
      <c r="D15" s="4">
        <v>67</v>
      </c>
      <c r="E15" s="15">
        <v>11.39991143</v>
      </c>
      <c r="F15" s="15">
        <v>65.898216559999995</v>
      </c>
      <c r="G15" s="16"/>
      <c r="H15" s="17"/>
      <c r="I15" s="4" t="s">
        <v>24</v>
      </c>
      <c r="J15" s="17"/>
    </row>
    <row r="16" spans="1:10">
      <c r="A16" s="3">
        <v>12</v>
      </c>
      <c r="B16" s="7"/>
      <c r="C16" s="7"/>
      <c r="D16" s="4">
        <v>84</v>
      </c>
      <c r="E16" s="15">
        <v>13.16041895</v>
      </c>
      <c r="F16" s="15">
        <v>103.22497079999999</v>
      </c>
      <c r="G16" s="6"/>
      <c r="H16" s="12"/>
      <c r="I16" s="4" t="s">
        <v>24</v>
      </c>
      <c r="J16" s="12"/>
    </row>
    <row r="17" spans="1:10">
      <c r="A17" s="3">
        <v>13</v>
      </c>
      <c r="B17" s="7"/>
      <c r="C17" s="7"/>
      <c r="D17" s="4">
        <v>88</v>
      </c>
      <c r="E17" s="15">
        <v>4.050785952</v>
      </c>
      <c r="F17" s="15">
        <v>2.7279707E-2</v>
      </c>
      <c r="G17" s="6"/>
      <c r="H17" s="12"/>
      <c r="I17" s="3"/>
      <c r="J17" s="12"/>
    </row>
    <row r="18" spans="1:10">
      <c r="A18" s="3">
        <v>14</v>
      </c>
      <c r="B18" s="8"/>
      <c r="C18" s="8"/>
      <c r="D18" s="117">
        <v>92</v>
      </c>
      <c r="E18" s="5">
        <v>4.7759515053081287</v>
      </c>
      <c r="F18" s="5">
        <v>6.773169533971668E-3</v>
      </c>
      <c r="G18" s="6"/>
      <c r="H18" s="12"/>
      <c r="I18" s="3" t="s">
        <v>25</v>
      </c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12</v>
      </c>
      <c r="C23" s="103">
        <v>4.5594943580000002</v>
      </c>
      <c r="D23" s="103">
        <v>8.2247903999999997E-2</v>
      </c>
    </row>
    <row r="24" spans="1:10">
      <c r="A24" s="208"/>
      <c r="B24" s="102">
        <v>16</v>
      </c>
      <c r="C24" s="103">
        <v>4.5676044988506277</v>
      </c>
      <c r="D24" s="103">
        <v>3.133323493602802E-2</v>
      </c>
    </row>
    <row r="25" spans="1:10">
      <c r="A25" s="208"/>
      <c r="B25" s="102">
        <v>41</v>
      </c>
      <c r="C25" s="103">
        <v>4.7918199350000004</v>
      </c>
      <c r="D25" s="103">
        <v>1.8803199E-2</v>
      </c>
    </row>
    <row r="26" spans="1:10">
      <c r="A26" s="209"/>
      <c r="B26" s="104" t="s">
        <v>22</v>
      </c>
      <c r="C26" s="105">
        <f>AVERAGE(C23:C25)</f>
        <v>4.6396395972835434</v>
      </c>
      <c r="D26" s="103"/>
    </row>
    <row r="27" spans="1:10">
      <c r="A27" s="210">
        <v>24</v>
      </c>
      <c r="B27" s="106">
        <v>63</v>
      </c>
      <c r="C27" s="107">
        <v>5.40520160478109</v>
      </c>
      <c r="D27" s="107">
        <v>1.1621005678534857E-2</v>
      </c>
    </row>
    <row r="28" spans="1:10">
      <c r="A28" s="211"/>
      <c r="B28" s="106">
        <v>65</v>
      </c>
      <c r="C28" s="107">
        <v>4.6602054958804366</v>
      </c>
      <c r="D28" s="107">
        <v>6.9539105330477469E-2</v>
      </c>
    </row>
    <row r="29" spans="1:10">
      <c r="A29" s="211"/>
      <c r="B29" s="106">
        <v>88</v>
      </c>
      <c r="C29" s="107">
        <v>4.050785952</v>
      </c>
      <c r="D29" s="107">
        <v>2.7279707E-2</v>
      </c>
    </row>
    <row r="30" spans="1:10">
      <c r="A30" s="211"/>
      <c r="B30" s="106">
        <v>92</v>
      </c>
      <c r="C30" s="107">
        <v>4.7759515053081287</v>
      </c>
      <c r="D30" s="107">
        <v>6.773169533971668E-3</v>
      </c>
    </row>
    <row r="31" spans="1:10">
      <c r="A31" s="212"/>
      <c r="B31" s="108" t="s">
        <v>22</v>
      </c>
      <c r="C31" s="109">
        <f>AVERAGE(C27:C30)</f>
        <v>4.7230361394924145</v>
      </c>
      <c r="D31" s="107"/>
    </row>
    <row r="32" spans="1:10">
      <c r="A32" s="213">
        <v>26</v>
      </c>
      <c r="B32" s="110">
        <v>59</v>
      </c>
      <c r="C32" s="111">
        <v>4.6096069079999999</v>
      </c>
      <c r="D32" s="111">
        <v>5.4239010999999997E-2</v>
      </c>
    </row>
    <row r="33" spans="1:4">
      <c r="A33" s="214"/>
      <c r="B33" s="110">
        <v>84</v>
      </c>
      <c r="C33" s="111"/>
      <c r="D33" s="111"/>
    </row>
    <row r="34" spans="1:4">
      <c r="A34" s="215"/>
      <c r="B34" s="112" t="s">
        <v>22</v>
      </c>
      <c r="C34" s="113">
        <f>AVERAGE(C32:C33)</f>
        <v>4.6096069079999999</v>
      </c>
      <c r="D34" s="111"/>
    </row>
    <row r="35" spans="1:4">
      <c r="A35" s="216">
        <v>28</v>
      </c>
      <c r="B35" s="114">
        <v>8</v>
      </c>
      <c r="C35" s="115">
        <v>3.8016985390000002</v>
      </c>
      <c r="D35" s="115">
        <v>6.5715203E-2</v>
      </c>
    </row>
    <row r="36" spans="1:4">
      <c r="A36" s="217"/>
      <c r="B36" s="114">
        <v>33</v>
      </c>
      <c r="C36" s="115">
        <v>3.9804322679999999</v>
      </c>
      <c r="D36" s="115">
        <v>2.8292244000000001E-2</v>
      </c>
    </row>
    <row r="37" spans="1:4">
      <c r="A37" s="217"/>
      <c r="B37" s="114">
        <v>35</v>
      </c>
      <c r="C37" s="115">
        <v>4.9293884849999996</v>
      </c>
      <c r="D37" s="115">
        <v>3.4349449999999997E-2</v>
      </c>
    </row>
    <row r="38" spans="1:4">
      <c r="A38" s="218"/>
      <c r="B38" s="114" t="s">
        <v>22</v>
      </c>
      <c r="C38" s="116">
        <f>AVERAGE(C35:C37)</f>
        <v>4.2371730973333328</v>
      </c>
      <c r="D38" s="115"/>
    </row>
  </sheetData>
  <mergeCells count="4">
    <mergeCell ref="A23:A26"/>
    <mergeCell ref="A27:A31"/>
    <mergeCell ref="A32:A34"/>
    <mergeCell ref="A35:A38"/>
  </mergeCells>
  <phoneticPr fontId="18" type="noConversion"/>
  <conditionalFormatting sqref="F5:F18">
    <cfRule type="cellIs" dxfId="14" priority="1" operator="greaterThan">
      <formula>0.1</formula>
    </cfRule>
    <cfRule type="cellIs" dxfId="13" priority="2" operator="greaterThan"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A812-3B21-464C-8D34-4868BE796B01}">
  <dimension ref="A1:J35"/>
  <sheetViews>
    <sheetView topLeftCell="A6" workbookViewId="0">
      <selection activeCell="C31" sqref="C31"/>
    </sheetView>
    <sheetView topLeftCell="A3" workbookViewId="1">
      <selection activeCell="A22" sqref="A22"/>
    </sheetView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7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1</v>
      </c>
      <c r="E5" s="5">
        <v>4.7761622863905213</v>
      </c>
      <c r="F5" s="5">
        <v>2.444326154673945</v>
      </c>
      <c r="G5" s="6"/>
      <c r="H5" s="12"/>
      <c r="I5" s="3" t="s">
        <v>26</v>
      </c>
      <c r="J5" s="12"/>
    </row>
    <row r="6" spans="1:10">
      <c r="A6" s="3">
        <v>2</v>
      </c>
      <c r="B6" s="7"/>
      <c r="C6" s="101"/>
      <c r="D6" s="3">
        <v>33</v>
      </c>
      <c r="E6" s="5">
        <v>4.9059561153155986</v>
      </c>
      <c r="F6" s="5">
        <v>4.575777719674079E-2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35</v>
      </c>
      <c r="E7" s="5">
        <v>5.0255103214567178</v>
      </c>
      <c r="F7" s="5">
        <v>2.887958752535269E-2</v>
      </c>
      <c r="G7" s="6"/>
      <c r="H7" s="12"/>
      <c r="I7" s="3"/>
      <c r="J7" s="12"/>
    </row>
    <row r="8" spans="1:10">
      <c r="A8" s="3">
        <v>4</v>
      </c>
      <c r="B8" s="7"/>
      <c r="C8" s="101"/>
      <c r="D8" s="3">
        <v>37</v>
      </c>
      <c r="E8" s="5">
        <v>5.6724267375450532</v>
      </c>
      <c r="F8" s="5">
        <v>1.3169828313948528E-2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47</v>
      </c>
      <c r="E9" s="5">
        <v>5.0594240734837292</v>
      </c>
      <c r="F9" s="5">
        <v>2.6731825350452709E-2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54</v>
      </c>
      <c r="E10" s="5">
        <v>4.5212135921007519</v>
      </c>
      <c r="F10" s="5">
        <v>7.8438195787384757E-3</v>
      </c>
      <c r="G10" s="6"/>
      <c r="H10" s="12"/>
      <c r="I10" s="3"/>
      <c r="J10" s="12"/>
    </row>
    <row r="11" spans="1:10">
      <c r="A11" s="3">
        <v>7</v>
      </c>
      <c r="B11" s="7"/>
      <c r="C11" s="101"/>
      <c r="D11" s="3">
        <v>58</v>
      </c>
      <c r="E11" s="5">
        <v>4.9321930232132321</v>
      </c>
      <c r="F11" s="5">
        <v>2.6034511499346991E-2</v>
      </c>
      <c r="G11" s="6"/>
      <c r="H11" s="12"/>
      <c r="I11" s="3"/>
      <c r="J11" s="12"/>
    </row>
    <row r="12" spans="1:10">
      <c r="A12" s="3">
        <v>8</v>
      </c>
      <c r="B12" s="7"/>
      <c r="C12" s="101"/>
      <c r="D12" s="3">
        <v>76</v>
      </c>
      <c r="E12" s="5">
        <v>5.144772327798993</v>
      </c>
      <c r="F12" s="5">
        <v>1.8529103892433341E-2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89</v>
      </c>
      <c r="E13" s="5">
        <v>4.4133391833875422</v>
      </c>
      <c r="F13" s="5">
        <v>1.5171549496244552E-2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95</v>
      </c>
      <c r="E14" s="15">
        <v>11.423870980412243</v>
      </c>
      <c r="F14" s="15">
        <v>98.214408941648799</v>
      </c>
      <c r="G14" s="16"/>
      <c r="H14" s="17"/>
      <c r="I14" s="4"/>
      <c r="J14" s="17"/>
    </row>
    <row r="15" spans="1:10">
      <c r="A15" s="3">
        <v>11</v>
      </c>
      <c r="B15" s="7"/>
      <c r="C15" s="101"/>
      <c r="D15" s="4">
        <v>100</v>
      </c>
      <c r="E15" s="15">
        <v>5.6714595123776324</v>
      </c>
      <c r="F15" s="15">
        <v>1.9404283405492606E-2</v>
      </c>
      <c r="G15" s="16"/>
      <c r="H15" s="17"/>
      <c r="I15" s="4"/>
      <c r="J15" s="17"/>
    </row>
    <row r="16" spans="1:10">
      <c r="A16" s="3">
        <v>12</v>
      </c>
      <c r="B16" s="7"/>
      <c r="C16" s="7"/>
      <c r="D16" s="4"/>
      <c r="E16" s="15"/>
      <c r="F16" s="15"/>
      <c r="G16" s="6"/>
      <c r="H16" s="12"/>
      <c r="I16" s="3"/>
      <c r="J16" s="12"/>
    </row>
    <row r="17" spans="1:10">
      <c r="A17" s="3">
        <v>13</v>
      </c>
      <c r="B17" s="7"/>
      <c r="C17" s="7"/>
      <c r="D17" s="4"/>
      <c r="E17" s="15"/>
      <c r="F17" s="15"/>
      <c r="G17" s="6"/>
      <c r="H17" s="12"/>
      <c r="I17" s="3"/>
      <c r="J17" s="12"/>
    </row>
    <row r="18" spans="1:10">
      <c r="A18" s="3">
        <v>14</v>
      </c>
      <c r="B18" s="8"/>
      <c r="C18" s="8"/>
      <c r="D18" s="117"/>
      <c r="E18" s="5"/>
      <c r="F18" s="5"/>
      <c r="G18" s="6"/>
      <c r="H18" s="12"/>
      <c r="I18" s="3"/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37</v>
      </c>
      <c r="C23" s="103">
        <v>5.6724267375450532</v>
      </c>
      <c r="D23" s="103">
        <v>1.3169828313948528E-2</v>
      </c>
    </row>
    <row r="24" spans="1:10">
      <c r="A24" s="209"/>
      <c r="B24" s="104" t="s">
        <v>22</v>
      </c>
      <c r="C24" s="105">
        <f>AVERAGE(C23:C23)</f>
        <v>5.6724267375450532</v>
      </c>
      <c r="D24" s="103"/>
    </row>
    <row r="25" spans="1:10">
      <c r="A25" s="210">
        <v>24</v>
      </c>
      <c r="B25" s="106">
        <v>54</v>
      </c>
      <c r="C25" s="107">
        <v>4.5212135921007519</v>
      </c>
      <c r="D25" s="107">
        <v>7.8438195787384757E-3</v>
      </c>
    </row>
    <row r="26" spans="1:10">
      <c r="A26" s="211"/>
      <c r="B26" s="106">
        <v>76</v>
      </c>
      <c r="C26" s="107">
        <v>5.144772327798993</v>
      </c>
      <c r="D26" s="107">
        <v>1.8529103892433341E-2</v>
      </c>
    </row>
    <row r="27" spans="1:10">
      <c r="A27" s="211"/>
      <c r="B27" s="106">
        <v>89</v>
      </c>
      <c r="C27" s="107">
        <v>4.4133391833875422</v>
      </c>
      <c r="D27" s="107">
        <v>1.5171549496244552E-2</v>
      </c>
    </row>
    <row r="28" spans="1:10">
      <c r="A28" s="212"/>
      <c r="B28" s="108" t="s">
        <v>22</v>
      </c>
      <c r="C28" s="109">
        <f>AVERAGE(C25:C27)</f>
        <v>4.693108367762429</v>
      </c>
      <c r="D28" s="107"/>
    </row>
    <row r="29" spans="1:10">
      <c r="A29" s="213">
        <v>26</v>
      </c>
      <c r="B29" s="110">
        <v>58</v>
      </c>
      <c r="C29" s="111">
        <v>4.9321930232132321</v>
      </c>
      <c r="D29" s="111">
        <v>2.6034511499346991E-2</v>
      </c>
    </row>
    <row r="30" spans="1:10">
      <c r="A30" s="215"/>
      <c r="B30" s="112" t="s">
        <v>22</v>
      </c>
      <c r="C30" s="113">
        <f>AVERAGE(C29:C29)</f>
        <v>4.9321930232132321</v>
      </c>
      <c r="D30" s="111"/>
    </row>
    <row r="31" spans="1:10">
      <c r="A31" s="216">
        <v>28</v>
      </c>
      <c r="B31" s="114">
        <v>1</v>
      </c>
      <c r="C31" s="115">
        <v>4.7761622863905213</v>
      </c>
      <c r="D31" s="115">
        <v>2.444326154673945</v>
      </c>
    </row>
    <row r="32" spans="1:10">
      <c r="A32" s="217"/>
      <c r="B32" s="114">
        <v>33</v>
      </c>
      <c r="C32" s="115">
        <v>4.9059561153155986</v>
      </c>
      <c r="D32" s="115">
        <v>4.575777719674079E-2</v>
      </c>
    </row>
    <row r="33" spans="1:4">
      <c r="A33" s="217"/>
      <c r="B33" s="114">
        <v>35</v>
      </c>
      <c r="C33" s="115">
        <v>5.0255103214567178</v>
      </c>
      <c r="D33" s="115">
        <v>2.887958752535269E-2</v>
      </c>
    </row>
    <row r="34" spans="1:4">
      <c r="A34" s="217"/>
      <c r="B34" s="114">
        <v>47</v>
      </c>
      <c r="C34" s="115">
        <v>5.0594240734837292</v>
      </c>
      <c r="D34" s="115">
        <v>2.6731825350452709E-2</v>
      </c>
    </row>
    <row r="35" spans="1:4">
      <c r="A35" s="218"/>
      <c r="B35" s="114" t="s">
        <v>22</v>
      </c>
      <c r="C35" s="116">
        <f>AVERAGE(C31:C34)</f>
        <v>4.9417631991616418</v>
      </c>
      <c r="D35" s="115"/>
    </row>
  </sheetData>
  <mergeCells count="4">
    <mergeCell ref="A23:A24"/>
    <mergeCell ref="A25:A28"/>
    <mergeCell ref="A29:A30"/>
    <mergeCell ref="A31:A35"/>
  </mergeCells>
  <conditionalFormatting sqref="F5:F18">
    <cfRule type="cellIs" dxfId="12" priority="1" operator="greater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6E6E-66D7-491D-8967-04627E56CC3D}">
  <dimension ref="A1:J36"/>
  <sheetViews>
    <sheetView topLeftCell="A3" workbookViewId="0">
      <selection activeCell="B23" sqref="B23"/>
    </sheetView>
    <sheetView topLeftCell="A6" workbookViewId="1">
      <selection activeCell="A22" sqref="A22"/>
    </sheetView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7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10</v>
      </c>
      <c r="E5" s="5">
        <v>3.0386560579999999</v>
      </c>
      <c r="F5" s="5">
        <v>2.9479292000000001E-2</v>
      </c>
      <c r="G5" s="6"/>
      <c r="H5" s="12"/>
      <c r="I5" s="3"/>
      <c r="J5" s="12"/>
    </row>
    <row r="6" spans="1:10">
      <c r="A6" s="3">
        <v>2</v>
      </c>
      <c r="B6" s="7"/>
      <c r="C6" s="101"/>
      <c r="D6" s="3">
        <v>24</v>
      </c>
      <c r="E6" s="5">
        <v>7.0545806950000003</v>
      </c>
      <c r="F6" s="5">
        <v>0.20910891300000001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36</v>
      </c>
      <c r="E7" s="5">
        <v>7.5593760029999997</v>
      </c>
      <c r="F7" s="5">
        <v>0.33270248899999999</v>
      </c>
      <c r="G7" s="6"/>
      <c r="H7" s="12"/>
      <c r="I7" s="3"/>
      <c r="J7" s="12"/>
    </row>
    <row r="8" spans="1:10">
      <c r="A8" s="3">
        <v>4</v>
      </c>
      <c r="B8" s="7"/>
      <c r="C8" s="101"/>
      <c r="D8" s="3">
        <v>39</v>
      </c>
      <c r="E8" s="5">
        <v>6.8878791560000003</v>
      </c>
      <c r="F8" s="5">
        <v>2.2577854000000001E-2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48</v>
      </c>
      <c r="E9" s="5">
        <v>4.9315566400000002</v>
      </c>
      <c r="F9" s="5">
        <v>1.6351369000000001E-2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51</v>
      </c>
      <c r="E10" s="5">
        <v>6.2792691490000001</v>
      </c>
      <c r="F10" s="5">
        <v>1.6077686000000001E-2</v>
      </c>
      <c r="G10" s="6"/>
      <c r="H10" s="12"/>
      <c r="I10" s="3"/>
      <c r="J10" s="12"/>
    </row>
    <row r="11" spans="1:10">
      <c r="A11" s="3">
        <v>7</v>
      </c>
      <c r="B11" s="7"/>
      <c r="C11" s="101"/>
      <c r="D11" s="3">
        <v>54</v>
      </c>
      <c r="E11" s="5">
        <v>3.4768161219999998</v>
      </c>
      <c r="F11" s="5">
        <v>6.0001730000000001E-3</v>
      </c>
      <c r="G11" s="6"/>
      <c r="H11" s="12"/>
      <c r="I11" s="3"/>
      <c r="J11" s="12"/>
    </row>
    <row r="12" spans="1:10">
      <c r="A12" s="3">
        <v>8</v>
      </c>
      <c r="B12" s="7"/>
      <c r="C12" s="101"/>
      <c r="D12" s="3">
        <v>63</v>
      </c>
      <c r="E12" s="5">
        <v>5.2923086369999996</v>
      </c>
      <c r="F12" s="5">
        <v>7.2220966999999997E-2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72</v>
      </c>
      <c r="E13" s="5">
        <v>3.8239437550000002</v>
      </c>
      <c r="F13" s="5">
        <v>5.6732105999999997E-2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78</v>
      </c>
      <c r="E14" s="15">
        <v>4.0410066740000001</v>
      </c>
      <c r="F14" s="15">
        <v>1.4557970999999999E-2</v>
      </c>
      <c r="G14" s="16"/>
      <c r="H14" s="17"/>
      <c r="I14" s="4"/>
      <c r="J14" s="17"/>
    </row>
    <row r="15" spans="1:10">
      <c r="A15" s="3">
        <v>11</v>
      </c>
      <c r="B15" s="7"/>
      <c r="C15" s="101"/>
      <c r="D15" s="4"/>
      <c r="E15" s="15"/>
      <c r="F15" s="15"/>
      <c r="G15" s="16"/>
      <c r="H15" s="17"/>
      <c r="I15" s="4"/>
      <c r="J15" s="17"/>
    </row>
    <row r="16" spans="1:10">
      <c r="A16" s="3">
        <v>12</v>
      </c>
      <c r="B16" s="7"/>
      <c r="C16" s="7"/>
      <c r="D16" s="4"/>
      <c r="E16" s="15"/>
      <c r="F16" s="15"/>
      <c r="G16" s="6"/>
      <c r="H16" s="12"/>
      <c r="I16" s="3"/>
      <c r="J16" s="12"/>
    </row>
    <row r="17" spans="1:10">
      <c r="A17" s="3">
        <v>13</v>
      </c>
      <c r="B17" s="7"/>
      <c r="C17" s="7"/>
      <c r="D17" s="4"/>
      <c r="E17" s="15"/>
      <c r="F17" s="15"/>
      <c r="G17" s="6"/>
      <c r="H17" s="12"/>
      <c r="I17" s="3"/>
      <c r="J17" s="12"/>
    </row>
    <row r="18" spans="1:10">
      <c r="A18" s="3">
        <v>14</v>
      </c>
      <c r="B18" s="8"/>
      <c r="C18" s="8"/>
      <c r="D18" s="117"/>
      <c r="E18" s="5"/>
      <c r="F18" s="5"/>
      <c r="G18" s="6"/>
      <c r="H18" s="12"/>
      <c r="I18" s="3"/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24</v>
      </c>
      <c r="C23" s="103">
        <v>7.0545806950000003</v>
      </c>
      <c r="D23" s="103">
        <v>0.20910891300000001</v>
      </c>
    </row>
    <row r="24" spans="1:10">
      <c r="A24" s="208"/>
      <c r="B24" s="102">
        <v>36</v>
      </c>
      <c r="C24" s="103">
        <v>7.5593760029999997</v>
      </c>
      <c r="D24" s="103">
        <v>0.33270248899999999</v>
      </c>
    </row>
    <row r="25" spans="1:10">
      <c r="A25" s="208"/>
      <c r="B25" s="102">
        <v>39</v>
      </c>
      <c r="C25" s="103">
        <v>6.8878791560000003</v>
      </c>
      <c r="D25" s="103">
        <v>2.2577854000000001E-2</v>
      </c>
    </row>
    <row r="26" spans="1:10">
      <c r="A26" s="209"/>
      <c r="B26" s="104" t="s">
        <v>22</v>
      </c>
      <c r="C26" s="105">
        <f>AVERAGE(C23:C25)</f>
        <v>7.1672786180000001</v>
      </c>
      <c r="D26" s="103"/>
    </row>
    <row r="27" spans="1:10">
      <c r="A27" s="210">
        <v>24</v>
      </c>
      <c r="B27" s="106">
        <v>51</v>
      </c>
      <c r="C27" s="107">
        <v>6.2792691490000001</v>
      </c>
      <c r="D27" s="107">
        <v>1.6077686000000001E-2</v>
      </c>
    </row>
    <row r="28" spans="1:10">
      <c r="A28" s="211"/>
      <c r="B28" s="106">
        <v>54</v>
      </c>
      <c r="C28" s="107">
        <v>3.4768161219999998</v>
      </c>
      <c r="D28" s="107">
        <v>6.0001730000000001E-3</v>
      </c>
    </row>
    <row r="29" spans="1:10">
      <c r="A29" s="211"/>
      <c r="B29" s="106">
        <v>63</v>
      </c>
      <c r="C29" s="107">
        <v>5.2923086369999996</v>
      </c>
      <c r="D29" s="107">
        <v>7.2220966999999997E-2</v>
      </c>
    </row>
    <row r="30" spans="1:10">
      <c r="A30" s="211"/>
      <c r="B30" s="106">
        <v>78</v>
      </c>
      <c r="C30" s="107">
        <v>4.0410066740000001</v>
      </c>
      <c r="D30" s="107">
        <v>1.4557970999999999E-2</v>
      </c>
    </row>
    <row r="31" spans="1:10">
      <c r="A31" s="212"/>
      <c r="B31" s="108" t="s">
        <v>22</v>
      </c>
      <c r="C31" s="109">
        <f>AVERAGE(C27:C30)</f>
        <v>4.7723501454999999</v>
      </c>
      <c r="D31" s="107"/>
    </row>
    <row r="32" spans="1:10">
      <c r="A32" s="140">
        <v>26</v>
      </c>
      <c r="B32" s="110">
        <v>72</v>
      </c>
      <c r="C32" s="111">
        <v>3.8239437550000002</v>
      </c>
      <c r="D32" s="111">
        <v>5.6732105999999997E-2</v>
      </c>
    </row>
    <row r="33" spans="1:4">
      <c r="A33" s="141"/>
      <c r="B33" s="112" t="s">
        <v>22</v>
      </c>
      <c r="C33" s="113">
        <f>AVERAGE(C32:C32)</f>
        <v>3.8239437550000002</v>
      </c>
      <c r="D33" s="111"/>
    </row>
    <row r="34" spans="1:4">
      <c r="A34" s="216">
        <v>28</v>
      </c>
      <c r="B34" s="114">
        <v>10</v>
      </c>
      <c r="C34" s="115">
        <v>3.0386560579999999</v>
      </c>
      <c r="D34" s="115">
        <v>2.9479292000000001E-2</v>
      </c>
    </row>
    <row r="35" spans="1:4">
      <c r="A35" s="217"/>
      <c r="B35" s="114">
        <v>48</v>
      </c>
      <c r="C35" s="115">
        <v>4.9315566400000002</v>
      </c>
      <c r="D35" s="115">
        <v>1.6351369000000001E-2</v>
      </c>
    </row>
    <row r="36" spans="1:4">
      <c r="A36" s="218"/>
      <c r="B36" s="114" t="s">
        <v>22</v>
      </c>
      <c r="C36" s="116">
        <f>AVERAGE(C34:C35)</f>
        <v>3.985106349</v>
      </c>
      <c r="D36" s="115"/>
    </row>
  </sheetData>
  <mergeCells count="3">
    <mergeCell ref="A23:A26"/>
    <mergeCell ref="A27:A31"/>
    <mergeCell ref="A34:A36"/>
  </mergeCells>
  <conditionalFormatting sqref="F5:F18">
    <cfRule type="cellIs" dxfId="11" priority="1" operator="greaterThan">
      <formula>0.1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FC50-EAA1-4740-9557-E71FA47D6B3C}">
  <dimension ref="A1:J35"/>
  <sheetViews>
    <sheetView workbookViewId="0">
      <selection activeCell="B23" sqref="B23"/>
    </sheetView>
    <sheetView topLeftCell="A3" workbookViewId="1">
      <selection activeCell="P21" sqref="P21"/>
    </sheetView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7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10</v>
      </c>
      <c r="E5" s="5">
        <v>3.542798179</v>
      </c>
      <c r="F5" s="5">
        <v>4.2860099999999998E-2</v>
      </c>
      <c r="G5" s="6"/>
      <c r="H5" s="12"/>
      <c r="I5" s="3"/>
      <c r="J5" s="12"/>
    </row>
    <row r="6" spans="1:10">
      <c r="A6" s="3">
        <v>2</v>
      </c>
      <c r="B6" s="7"/>
      <c r="C6" s="101"/>
      <c r="D6" s="3">
        <v>24</v>
      </c>
      <c r="E6" s="5">
        <v>7.4253166569999998</v>
      </c>
      <c r="F6" s="5">
        <v>5.7048755E-2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36</v>
      </c>
      <c r="E7" s="5">
        <v>10.701180949999999</v>
      </c>
      <c r="F7" s="5">
        <v>0.88845083899999999</v>
      </c>
      <c r="G7" s="6"/>
      <c r="H7" s="12"/>
      <c r="I7" s="3"/>
      <c r="J7" s="12"/>
    </row>
    <row r="8" spans="1:10">
      <c r="A8" s="3">
        <v>4</v>
      </c>
      <c r="B8" s="7"/>
      <c r="C8" s="101"/>
      <c r="D8" s="3">
        <v>39</v>
      </c>
      <c r="E8" s="5">
        <v>7.2038043270000003</v>
      </c>
      <c r="F8" s="5">
        <v>6.6264409999999996E-2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45</v>
      </c>
      <c r="E9" s="5">
        <v>3.277446173</v>
      </c>
      <c r="F9" s="5">
        <v>1.5765016999999999E-2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48</v>
      </c>
      <c r="E10" s="5">
        <v>6.1933853069999998</v>
      </c>
      <c r="F10" s="5">
        <v>4.6507900000000002E-4</v>
      </c>
      <c r="G10" s="6"/>
      <c r="H10" s="12"/>
      <c r="I10" s="3"/>
      <c r="J10" s="12"/>
    </row>
    <row r="11" spans="1:10">
      <c r="A11" s="3">
        <v>7</v>
      </c>
      <c r="B11" s="7"/>
      <c r="C11" s="101"/>
      <c r="D11" s="3">
        <v>51</v>
      </c>
      <c r="E11" s="5">
        <v>7.7869171870000002</v>
      </c>
      <c r="F11" s="5">
        <v>8.3944569999999993E-3</v>
      </c>
      <c r="G11" s="6"/>
      <c r="H11" s="12"/>
      <c r="I11" s="3"/>
      <c r="J11" s="12"/>
    </row>
    <row r="12" spans="1:10">
      <c r="A12" s="3">
        <v>8</v>
      </c>
      <c r="B12" s="7"/>
      <c r="C12" s="101"/>
      <c r="D12" s="3">
        <v>54</v>
      </c>
      <c r="E12" s="5">
        <v>6.2923482249999996</v>
      </c>
      <c r="F12" s="5">
        <v>5.7101180000000001E-3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63</v>
      </c>
      <c r="E13" s="5">
        <v>7.2757575760000002</v>
      </c>
      <c r="F13" s="5">
        <v>5.9220968999999998E-2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72</v>
      </c>
      <c r="E14" s="15">
        <v>4.1770587890000002</v>
      </c>
      <c r="F14" s="15">
        <v>1.844966E-3</v>
      </c>
      <c r="G14" s="16"/>
      <c r="H14" s="17"/>
      <c r="I14" s="4"/>
      <c r="J14" s="17"/>
    </row>
    <row r="15" spans="1:10">
      <c r="A15" s="3">
        <v>11</v>
      </c>
      <c r="B15" s="7"/>
      <c r="C15" s="101"/>
      <c r="D15" s="4">
        <v>78</v>
      </c>
      <c r="E15" s="15">
        <v>5.2635111600000002</v>
      </c>
      <c r="F15" s="15">
        <v>1.1641517000000001E-2</v>
      </c>
      <c r="G15" s="16"/>
      <c r="H15" s="17"/>
      <c r="I15" s="4"/>
      <c r="J15" s="17"/>
    </row>
    <row r="16" spans="1:10">
      <c r="A16" s="3">
        <v>12</v>
      </c>
      <c r="B16" s="7"/>
      <c r="C16" s="7"/>
      <c r="D16" s="4"/>
      <c r="E16" s="15"/>
      <c r="F16" s="15"/>
      <c r="G16" s="6"/>
      <c r="H16" s="12"/>
      <c r="I16" s="3"/>
      <c r="J16" s="12"/>
    </row>
    <row r="17" spans="1:10">
      <c r="A17" s="3">
        <v>13</v>
      </c>
      <c r="B17" s="7"/>
      <c r="C17" s="7"/>
      <c r="D17" s="4"/>
      <c r="E17" s="15"/>
      <c r="F17" s="15"/>
      <c r="G17" s="6"/>
      <c r="H17" s="12"/>
      <c r="I17" s="3"/>
      <c r="J17" s="12"/>
    </row>
    <row r="18" spans="1:10">
      <c r="A18" s="3">
        <v>14</v>
      </c>
      <c r="B18" s="8"/>
      <c r="C18" s="8"/>
      <c r="D18" s="117"/>
      <c r="E18" s="5"/>
      <c r="F18" s="5"/>
      <c r="G18" s="6"/>
      <c r="H18" s="12"/>
      <c r="I18" s="3"/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24</v>
      </c>
      <c r="C23" s="103">
        <v>7.4253166569999998</v>
      </c>
      <c r="D23" s="103">
        <v>5.7048755E-2</v>
      </c>
    </row>
    <row r="24" spans="1:10">
      <c r="A24" s="208"/>
      <c r="B24" s="102">
        <v>39</v>
      </c>
      <c r="C24" s="103">
        <v>7.2038043270000003</v>
      </c>
      <c r="D24" s="103">
        <v>6.6264409999999996E-2</v>
      </c>
    </row>
    <row r="25" spans="1:10">
      <c r="A25" s="209"/>
      <c r="B25" s="104" t="s">
        <v>22</v>
      </c>
      <c r="C25" s="105">
        <f>AVERAGE(C23:C24)</f>
        <v>7.314560492</v>
      </c>
      <c r="D25" s="103"/>
    </row>
    <row r="26" spans="1:10">
      <c r="A26" s="210">
        <v>24</v>
      </c>
      <c r="B26" s="106">
        <v>51</v>
      </c>
      <c r="C26" s="107">
        <v>7.7869171870000002</v>
      </c>
      <c r="D26" s="107">
        <v>8.3944569999999993E-3</v>
      </c>
    </row>
    <row r="27" spans="1:10">
      <c r="A27" s="211"/>
      <c r="B27" s="106">
        <v>54</v>
      </c>
      <c r="C27" s="107">
        <v>6.2923482249999996</v>
      </c>
      <c r="D27" s="107">
        <v>5.7101180000000001E-3</v>
      </c>
    </row>
    <row r="28" spans="1:10">
      <c r="A28" s="211"/>
      <c r="B28" s="106">
        <v>63</v>
      </c>
      <c r="C28" s="107">
        <v>7.2757575760000002</v>
      </c>
      <c r="D28" s="107">
        <v>5.9220968999999998E-2</v>
      </c>
    </row>
    <row r="29" spans="1:10">
      <c r="A29" s="211"/>
      <c r="B29" s="106">
        <v>78</v>
      </c>
      <c r="C29" s="107">
        <v>5.2635111600000002</v>
      </c>
      <c r="D29" s="107">
        <v>1.1641517000000001E-2</v>
      </c>
    </row>
    <row r="30" spans="1:10">
      <c r="A30" s="212"/>
      <c r="B30" s="108" t="s">
        <v>22</v>
      </c>
      <c r="C30" s="109">
        <f>AVERAGE(C26:C29)</f>
        <v>6.6546335370000005</v>
      </c>
      <c r="D30" s="107"/>
    </row>
    <row r="31" spans="1:10">
      <c r="A31" s="213">
        <v>26</v>
      </c>
      <c r="B31" s="110">
        <v>72</v>
      </c>
      <c r="C31" s="111">
        <v>4.1770587890000002</v>
      </c>
      <c r="D31" s="111">
        <v>1.844966E-3</v>
      </c>
    </row>
    <row r="32" spans="1:10">
      <c r="A32" s="215"/>
      <c r="B32" s="112" t="s">
        <v>22</v>
      </c>
      <c r="C32" s="113">
        <f>AVERAGE(C31:C31)</f>
        <v>4.1770587890000002</v>
      </c>
      <c r="D32" s="111"/>
    </row>
    <row r="33" spans="1:4">
      <c r="A33" s="216">
        <v>28</v>
      </c>
      <c r="B33" s="114">
        <v>10</v>
      </c>
      <c r="C33" s="115">
        <v>3.542798179</v>
      </c>
      <c r="D33" s="115">
        <v>4.2860099999999998E-2</v>
      </c>
    </row>
    <row r="34" spans="1:4">
      <c r="A34" s="217"/>
      <c r="B34" s="114">
        <v>48</v>
      </c>
      <c r="C34" s="115">
        <v>6.1933853069999998</v>
      </c>
      <c r="D34" s="115">
        <v>4.6507900000000002E-4</v>
      </c>
    </row>
    <row r="35" spans="1:4">
      <c r="A35" s="218"/>
      <c r="B35" s="114" t="s">
        <v>22</v>
      </c>
      <c r="C35" s="116">
        <f>AVERAGE(C33:C34)</f>
        <v>4.8680917429999999</v>
      </c>
      <c r="D35" s="115"/>
    </row>
  </sheetData>
  <mergeCells count="4">
    <mergeCell ref="A23:A25"/>
    <mergeCell ref="A26:A30"/>
    <mergeCell ref="A31:A32"/>
    <mergeCell ref="A33:A35"/>
  </mergeCells>
  <conditionalFormatting sqref="F5:F18">
    <cfRule type="cellIs" dxfId="10" priority="1" operator="greater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678F-F570-421C-9068-91CFBC2215C1}">
  <dimension ref="A1:J40"/>
  <sheetViews>
    <sheetView topLeftCell="A16" zoomScale="115" zoomScaleNormal="115" workbookViewId="0">
      <selection activeCell="C43" sqref="C43"/>
    </sheetView>
    <sheetView workbookViewId="1"/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7" max="7" width="14.140625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16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8</v>
      </c>
      <c r="E5" s="5">
        <v>4.1715901871778902</v>
      </c>
      <c r="F5" s="5">
        <v>3.7808325310834334E-2</v>
      </c>
      <c r="G5" s="191">
        <v>45813</v>
      </c>
      <c r="H5" s="12"/>
      <c r="I5" s="3"/>
      <c r="J5" s="12"/>
    </row>
    <row r="6" spans="1:10">
      <c r="A6" s="3">
        <v>2</v>
      </c>
      <c r="B6" s="7"/>
      <c r="C6" s="101"/>
      <c r="D6" s="3">
        <v>12</v>
      </c>
      <c r="E6" s="5">
        <v>3.9908181301583792</v>
      </c>
      <c r="F6" s="5">
        <v>4.9396966322547087E-2</v>
      </c>
      <c r="G6" s="6"/>
      <c r="H6" s="12"/>
      <c r="I6" s="3" t="s">
        <v>25</v>
      </c>
      <c r="J6" s="12"/>
    </row>
    <row r="7" spans="1:10">
      <c r="A7" s="3">
        <v>3</v>
      </c>
      <c r="B7" s="7"/>
      <c r="C7" s="101"/>
      <c r="D7" s="3">
        <v>16</v>
      </c>
      <c r="E7" s="5">
        <v>4.8290617836727678</v>
      </c>
      <c r="F7" s="5">
        <v>6.0779594667565107E-2</v>
      </c>
      <c r="G7" s="6"/>
      <c r="H7" s="12"/>
      <c r="I7" s="3"/>
      <c r="J7" s="12"/>
    </row>
    <row r="8" spans="1:10">
      <c r="A8" s="3">
        <v>4</v>
      </c>
      <c r="B8" s="7"/>
      <c r="C8" s="101"/>
      <c r="D8" s="3">
        <v>33</v>
      </c>
      <c r="E8" s="5">
        <v>4.4122907302052754</v>
      </c>
      <c r="F8" s="5">
        <v>1.9374125972717593E-2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35</v>
      </c>
      <c r="E9" s="5">
        <v>4.3408061541861214</v>
      </c>
      <c r="F9" s="5">
        <v>4.5095185199897969E-2</v>
      </c>
      <c r="G9" s="6"/>
      <c r="H9" s="12"/>
      <c r="I9" s="3"/>
      <c r="J9" s="12"/>
    </row>
    <row r="10" spans="1:10">
      <c r="A10" s="3">
        <v>6</v>
      </c>
      <c r="B10" s="7"/>
      <c r="C10" s="101"/>
      <c r="D10" s="3">
        <v>37</v>
      </c>
      <c r="E10" s="5">
        <v>5.0957503147651835</v>
      </c>
      <c r="F10" s="5">
        <v>2.8705434704988875E-2</v>
      </c>
      <c r="G10" s="6"/>
      <c r="H10" s="12"/>
      <c r="I10" s="3"/>
      <c r="J10" s="12"/>
    </row>
    <row r="11" spans="1:10">
      <c r="A11" s="3">
        <v>7</v>
      </c>
      <c r="B11" s="7"/>
      <c r="C11" s="101"/>
      <c r="D11" s="3">
        <v>41</v>
      </c>
      <c r="E11" s="5">
        <v>4.7250512506870326</v>
      </c>
      <c r="F11" s="5">
        <v>1.4534885657667473E-2</v>
      </c>
      <c r="G11" s="6"/>
      <c r="H11" s="12"/>
      <c r="I11" s="3"/>
      <c r="J11" s="12"/>
    </row>
    <row r="12" spans="1:10">
      <c r="A12" s="3">
        <v>8</v>
      </c>
      <c r="B12" s="7"/>
      <c r="C12" s="101"/>
      <c r="D12" s="3">
        <v>59</v>
      </c>
      <c r="E12" s="5">
        <v>4.8603507741858758</v>
      </c>
      <c r="F12" s="5">
        <v>5.3018829875327356E-2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61</v>
      </c>
      <c r="E13" s="5">
        <v>4.9682207958799998</v>
      </c>
      <c r="F13" s="5">
        <v>1.4070931883452431E-2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63</v>
      </c>
      <c r="E14" s="15">
        <v>4.8243280065766152</v>
      </c>
      <c r="F14" s="15">
        <v>2.1049146845598443E-2</v>
      </c>
      <c r="G14" s="16"/>
      <c r="H14" s="17"/>
      <c r="I14" s="4"/>
      <c r="J14" s="17"/>
    </row>
    <row r="15" spans="1:10">
      <c r="A15" s="3">
        <v>11</v>
      </c>
      <c r="B15" s="7"/>
      <c r="C15" s="101"/>
      <c r="D15" s="4">
        <v>67</v>
      </c>
      <c r="E15" s="15">
        <v>4.1038373403563586</v>
      </c>
      <c r="F15" s="15">
        <v>1.8351032804730494E-2</v>
      </c>
      <c r="G15" s="16"/>
      <c r="H15" s="17"/>
      <c r="I15" s="4"/>
      <c r="J15" s="17"/>
    </row>
    <row r="16" spans="1:10">
      <c r="A16" s="3">
        <v>12</v>
      </c>
      <c r="B16" s="7"/>
      <c r="C16" s="7"/>
      <c r="D16" s="4">
        <v>84</v>
      </c>
      <c r="E16" s="15">
        <v>4.0153259383042244</v>
      </c>
      <c r="F16" s="15">
        <v>2.5715629974456533E-2</v>
      </c>
      <c r="G16" s="6"/>
      <c r="H16" s="12"/>
      <c r="I16" s="4"/>
      <c r="J16" s="12"/>
    </row>
    <row r="17" spans="1:10">
      <c r="A17" s="3">
        <v>13</v>
      </c>
      <c r="B17" s="7"/>
      <c r="C17" s="7"/>
      <c r="D17" s="4">
        <v>88</v>
      </c>
      <c r="E17" s="15">
        <v>4.0451670107815128</v>
      </c>
      <c r="F17" s="15">
        <v>1.0901526683028351E-2</v>
      </c>
      <c r="G17" s="6"/>
      <c r="H17" s="12"/>
      <c r="I17" s="3"/>
      <c r="J17" s="12"/>
    </row>
    <row r="18" spans="1:10">
      <c r="A18" s="3">
        <v>14</v>
      </c>
      <c r="B18" s="8"/>
      <c r="C18" s="8"/>
      <c r="D18" s="117">
        <v>92</v>
      </c>
      <c r="E18" s="5">
        <v>5.100705862728562</v>
      </c>
      <c r="F18" s="5">
        <v>1.7906477659835218E-2</v>
      </c>
      <c r="G18" s="6"/>
      <c r="H18" s="12"/>
      <c r="I18" s="3"/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12</v>
      </c>
      <c r="C23" s="103">
        <v>3.9908181301583792</v>
      </c>
      <c r="D23" s="103">
        <v>4.9396966322547087E-2</v>
      </c>
    </row>
    <row r="24" spans="1:10">
      <c r="A24" s="208"/>
      <c r="B24" s="102">
        <v>16</v>
      </c>
      <c r="C24" s="103">
        <v>4.1715901871778902</v>
      </c>
      <c r="D24" s="103">
        <v>3.7808325310834334E-2</v>
      </c>
    </row>
    <row r="25" spans="1:10">
      <c r="A25" s="208"/>
      <c r="B25" s="102">
        <v>37</v>
      </c>
      <c r="C25" s="103">
        <v>5.0957503147651835</v>
      </c>
      <c r="D25" s="103">
        <v>2.8705434704988875E-2</v>
      </c>
    </row>
    <row r="26" spans="1:10">
      <c r="A26" s="208"/>
      <c r="B26" s="102">
        <v>41</v>
      </c>
      <c r="C26" s="103">
        <v>4.7250512506870326</v>
      </c>
      <c r="D26" s="103">
        <v>1.4534885657667473E-2</v>
      </c>
    </row>
    <row r="27" spans="1:10">
      <c r="A27" s="209"/>
      <c r="B27" s="104" t="s">
        <v>22</v>
      </c>
      <c r="C27" s="105">
        <f>AVERAGE(C23:C26)</f>
        <v>4.4958024706971216</v>
      </c>
      <c r="D27" s="103"/>
    </row>
    <row r="28" spans="1:10">
      <c r="A28" s="210">
        <v>24</v>
      </c>
      <c r="B28" s="106">
        <v>63</v>
      </c>
      <c r="C28" s="107">
        <v>4.8243280065766152</v>
      </c>
      <c r="D28" s="107">
        <v>2.1049146845598443E-2</v>
      </c>
    </row>
    <row r="29" spans="1:10">
      <c r="A29" s="211"/>
      <c r="B29" s="106">
        <v>67</v>
      </c>
      <c r="C29" s="107">
        <v>4.1038373403563586</v>
      </c>
      <c r="D29" s="107">
        <v>1.8351032804730494E-2</v>
      </c>
    </row>
    <row r="30" spans="1:10">
      <c r="A30" s="211"/>
      <c r="B30" s="106">
        <v>88</v>
      </c>
      <c r="C30" s="107">
        <v>4.0451670107815128</v>
      </c>
      <c r="D30" s="107">
        <v>1.0901526683028351E-2</v>
      </c>
    </row>
    <row r="31" spans="1:10">
      <c r="A31" s="211"/>
      <c r="B31" s="106">
        <v>92</v>
      </c>
      <c r="C31" s="107">
        <v>5.100705862728562</v>
      </c>
      <c r="D31" s="107">
        <v>1.7906477659835218E-2</v>
      </c>
    </row>
    <row r="32" spans="1:10">
      <c r="A32" s="212"/>
      <c r="B32" s="108" t="s">
        <v>22</v>
      </c>
      <c r="C32" s="109">
        <f>AVERAGE(C28:C31)</f>
        <v>4.5185095551107626</v>
      </c>
      <c r="D32" s="107"/>
    </row>
    <row r="33" spans="1:4">
      <c r="A33" s="213">
        <v>26</v>
      </c>
      <c r="B33" s="110">
        <v>59</v>
      </c>
      <c r="C33" s="111">
        <v>4.8603507741858758</v>
      </c>
      <c r="D33" s="111">
        <v>5.3018829875327356E-2</v>
      </c>
    </row>
    <row r="34" spans="1:4">
      <c r="A34" s="214"/>
      <c r="B34" s="110">
        <v>61</v>
      </c>
      <c r="C34" s="111">
        <v>4.9682207958799998</v>
      </c>
      <c r="D34" s="111">
        <v>1.4070931883452431E-2</v>
      </c>
    </row>
    <row r="35" spans="1:4">
      <c r="A35" s="214"/>
      <c r="B35" s="110">
        <v>84</v>
      </c>
      <c r="C35" s="111">
        <v>4.0153259383042244</v>
      </c>
      <c r="D35" s="111">
        <v>2.5715629974456533E-2</v>
      </c>
    </row>
    <row r="36" spans="1:4">
      <c r="A36" s="215"/>
      <c r="B36" s="112" t="s">
        <v>22</v>
      </c>
      <c r="C36" s="113">
        <f>AVERAGE(C33:C35)</f>
        <v>4.614632502790033</v>
      </c>
      <c r="D36" s="111"/>
    </row>
    <row r="37" spans="1:4">
      <c r="A37" s="216">
        <v>28</v>
      </c>
      <c r="B37" s="114">
        <v>8</v>
      </c>
      <c r="C37" s="115">
        <v>4.1715901871778902</v>
      </c>
      <c r="D37" s="115">
        <v>3.7808325310834334E-2</v>
      </c>
    </row>
    <row r="38" spans="1:4">
      <c r="A38" s="217"/>
      <c r="B38" s="114">
        <v>33</v>
      </c>
      <c r="C38" s="115">
        <v>4.4122907302052754</v>
      </c>
      <c r="D38" s="115">
        <v>1.9374125972717593E-2</v>
      </c>
    </row>
    <row r="39" spans="1:4">
      <c r="A39" s="217"/>
      <c r="B39" s="114">
        <v>35</v>
      </c>
      <c r="C39" s="115">
        <v>4.3408061541861214</v>
      </c>
      <c r="D39" s="115">
        <v>4.5095185199897969E-2</v>
      </c>
    </row>
    <row r="40" spans="1:4">
      <c r="A40" s="218"/>
      <c r="B40" s="114" t="s">
        <v>22</v>
      </c>
      <c r="C40" s="116">
        <f>AVERAGE(C37:C39)</f>
        <v>4.3082290238564296</v>
      </c>
      <c r="D40" s="115"/>
    </row>
  </sheetData>
  <mergeCells count="4">
    <mergeCell ref="A23:A27"/>
    <mergeCell ref="A28:A32"/>
    <mergeCell ref="A33:A36"/>
    <mergeCell ref="A37:A40"/>
  </mergeCells>
  <conditionalFormatting sqref="F5:F18">
    <cfRule type="cellIs" dxfId="9" priority="1" operator="greaterThan">
      <formula>0.1</formula>
    </cfRule>
    <cfRule type="cellIs" dxfId="8" priority="2" operator="greaterThan">
      <formula>0.2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6F26-18DB-4C17-B10B-3AFBA2E6174E}">
  <dimension ref="A1:J40"/>
  <sheetViews>
    <sheetView topLeftCell="A9" zoomScale="115" zoomScaleNormal="115" workbookViewId="0">
      <selection activeCell="F21" sqref="F21"/>
    </sheetView>
    <sheetView workbookViewId="1"/>
  </sheetViews>
  <sheetFormatPr defaultRowHeight="15"/>
  <cols>
    <col min="2" max="2" width="22.140625" customWidth="1"/>
    <col min="3" max="3" width="13" customWidth="1"/>
    <col min="4" max="4" width="19.28515625" customWidth="1"/>
    <col min="5" max="5" width="34.42578125" customWidth="1"/>
    <col min="6" max="6" width="23" customWidth="1"/>
    <col min="7" max="7" width="14.140625" customWidth="1"/>
    <col min="9" max="9" width="15" customWidth="1"/>
    <col min="10" max="10" width="25.28515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/>
      <c r="B2" s="32"/>
      <c r="C2" s="34"/>
      <c r="D2" s="34"/>
      <c r="E2" s="32">
        <v>16</v>
      </c>
      <c r="F2" s="32"/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>
      <c r="A5" s="3">
        <v>1</v>
      </c>
      <c r="B5" s="4" t="s">
        <v>16</v>
      </c>
      <c r="C5" s="100"/>
      <c r="D5" s="3">
        <v>8</v>
      </c>
      <c r="E5" s="5">
        <v>5.0745800173394997</v>
      </c>
      <c r="F5" s="5">
        <v>7.3553706441543909E-2</v>
      </c>
      <c r="G5" s="191">
        <v>45814</v>
      </c>
      <c r="H5" s="12"/>
      <c r="I5" s="3"/>
      <c r="J5" s="12"/>
    </row>
    <row r="6" spans="1:10">
      <c r="A6" s="3">
        <v>2</v>
      </c>
      <c r="B6" s="7"/>
      <c r="C6" s="101"/>
      <c r="D6" s="3">
        <v>12</v>
      </c>
      <c r="E6" s="5">
        <v>6.5335165462808442</v>
      </c>
      <c r="F6" s="5">
        <v>0.11794925570484338</v>
      </c>
      <c r="G6" s="6"/>
      <c r="H6" s="12"/>
      <c r="I6" s="3"/>
      <c r="J6" s="12"/>
    </row>
    <row r="7" spans="1:10">
      <c r="A7" s="3">
        <v>3</v>
      </c>
      <c r="B7" s="7"/>
      <c r="C7" s="101"/>
      <c r="D7" s="3">
        <v>16</v>
      </c>
      <c r="E7" s="5">
        <v>6.467029375441844</v>
      </c>
      <c r="F7" s="5">
        <v>0.14462366799307347</v>
      </c>
      <c r="G7" s="6"/>
      <c r="H7" s="12"/>
      <c r="I7" s="3"/>
      <c r="J7" s="12"/>
    </row>
    <row r="8" spans="1:10">
      <c r="A8" s="3">
        <v>4</v>
      </c>
      <c r="B8" s="7"/>
      <c r="C8" s="101"/>
      <c r="D8" s="3">
        <v>33</v>
      </c>
      <c r="E8" s="5">
        <v>5.4699513825770865</v>
      </c>
      <c r="F8" s="5">
        <v>3.3209712818461412E-2</v>
      </c>
      <c r="G8" s="6"/>
      <c r="H8" s="12"/>
      <c r="I8" s="3"/>
      <c r="J8" s="12"/>
    </row>
    <row r="9" spans="1:10">
      <c r="A9" s="3">
        <v>5</v>
      </c>
      <c r="B9" s="7"/>
      <c r="C9" s="101"/>
      <c r="D9" s="3">
        <v>35</v>
      </c>
      <c r="E9" s="5">
        <v>8.1883549087764216</v>
      </c>
      <c r="F9" s="5">
        <v>2.5388063637365121E-2</v>
      </c>
      <c r="G9" s="6"/>
      <c r="H9" s="12"/>
      <c r="I9" s="3" t="s">
        <v>27</v>
      </c>
      <c r="J9" s="12"/>
    </row>
    <row r="10" spans="1:10">
      <c r="A10" s="3">
        <v>6</v>
      </c>
      <c r="B10" s="7"/>
      <c r="C10" s="101"/>
      <c r="D10" s="3">
        <v>37</v>
      </c>
      <c r="E10" s="5">
        <v>8.2590304403912658</v>
      </c>
      <c r="F10" s="5">
        <v>3.2314371069332992E-2</v>
      </c>
      <c r="G10" s="6"/>
      <c r="H10" s="12"/>
      <c r="I10" s="3" t="s">
        <v>25</v>
      </c>
      <c r="J10" s="12"/>
    </row>
    <row r="11" spans="1:10">
      <c r="A11" s="3">
        <v>7</v>
      </c>
      <c r="B11" s="7"/>
      <c r="C11" s="101"/>
      <c r="D11" s="3">
        <v>41</v>
      </c>
      <c r="E11" s="5">
        <v>5.6527211105731308</v>
      </c>
      <c r="F11" s="5">
        <v>1.0069242425136812E-2</v>
      </c>
      <c r="G11" s="6"/>
      <c r="H11" s="12"/>
      <c r="I11" s="3" t="s">
        <v>18</v>
      </c>
      <c r="J11" s="12"/>
    </row>
    <row r="12" spans="1:10">
      <c r="A12" s="3">
        <v>8</v>
      </c>
      <c r="B12" s="7"/>
      <c r="C12" s="101"/>
      <c r="D12" s="3">
        <v>59</v>
      </c>
      <c r="E12" s="5">
        <v>5.8341519577335088</v>
      </c>
      <c r="F12" s="5">
        <v>4.7173572464089375E-2</v>
      </c>
      <c r="G12" s="6"/>
      <c r="H12" s="12"/>
      <c r="I12" s="3"/>
      <c r="J12" s="12"/>
    </row>
    <row r="13" spans="1:10">
      <c r="A13" s="3">
        <v>9</v>
      </c>
      <c r="B13" s="7"/>
      <c r="C13" s="101"/>
      <c r="D13" s="3">
        <v>61</v>
      </c>
      <c r="E13" s="5">
        <v>6.3076849626992262</v>
      </c>
      <c r="F13" s="5">
        <v>4.026552809682471E-2</v>
      </c>
      <c r="G13" s="6"/>
      <c r="H13" s="12"/>
      <c r="I13" s="3"/>
      <c r="J13" s="12"/>
    </row>
    <row r="14" spans="1:10">
      <c r="A14" s="3">
        <v>10</v>
      </c>
      <c r="B14" s="7"/>
      <c r="C14" s="101"/>
      <c r="D14" s="4">
        <v>63</v>
      </c>
      <c r="E14" s="15">
        <v>6.7060731548409453</v>
      </c>
      <c r="F14" s="15">
        <v>2.689771103541716E-2</v>
      </c>
      <c r="G14" s="16"/>
      <c r="H14" s="17"/>
      <c r="I14" s="4" t="s">
        <v>18</v>
      </c>
      <c r="J14" s="17"/>
    </row>
    <row r="15" spans="1:10">
      <c r="A15" s="3">
        <v>11</v>
      </c>
      <c r="B15" s="7"/>
      <c r="C15" s="101"/>
      <c r="D15" s="4">
        <v>67</v>
      </c>
      <c r="E15" s="15">
        <v>5.0219386149203906</v>
      </c>
      <c r="F15" s="15">
        <v>8.6031721371000458E-3</v>
      </c>
      <c r="G15" s="16"/>
      <c r="H15" s="17"/>
      <c r="I15" s="4"/>
      <c r="J15" s="17"/>
    </row>
    <row r="16" spans="1:10">
      <c r="A16" s="3">
        <v>12</v>
      </c>
      <c r="B16" s="7"/>
      <c r="C16" s="7"/>
      <c r="D16" s="4">
        <v>84</v>
      </c>
      <c r="E16" s="15">
        <v>5.4878183473794229</v>
      </c>
      <c r="F16" s="15">
        <v>3.1711574472865323E-2</v>
      </c>
      <c r="G16" s="6"/>
      <c r="H16" s="12"/>
      <c r="I16" s="4"/>
      <c r="J16" s="12"/>
    </row>
    <row r="17" spans="1:10">
      <c r="A17" s="3">
        <v>13</v>
      </c>
      <c r="B17" s="7"/>
      <c r="C17" s="7"/>
      <c r="D17" s="4">
        <v>88</v>
      </c>
      <c r="E17" s="15">
        <v>5.7520253261754108</v>
      </c>
      <c r="F17" s="15">
        <v>2.5185997257267445E-2</v>
      </c>
      <c r="G17" s="6"/>
      <c r="H17" s="12"/>
      <c r="I17" s="3"/>
      <c r="J17" s="12"/>
    </row>
    <row r="18" spans="1:10">
      <c r="A18" s="3">
        <v>14</v>
      </c>
      <c r="B18" s="8"/>
      <c r="C18" s="8"/>
      <c r="D18" s="202">
        <v>92</v>
      </c>
      <c r="E18" s="203">
        <v>14.242886206854413</v>
      </c>
      <c r="F18" s="5">
        <v>1.1762175081948953</v>
      </c>
      <c r="G18" s="6"/>
      <c r="H18" s="12"/>
      <c r="I18" s="204" t="s">
        <v>28</v>
      </c>
      <c r="J18" s="12"/>
    </row>
    <row r="22" spans="1:10">
      <c r="A22" s="3" t="s">
        <v>20</v>
      </c>
      <c r="B22" s="3" t="s">
        <v>9</v>
      </c>
      <c r="C22" s="3" t="s">
        <v>21</v>
      </c>
      <c r="D22" s="3" t="s">
        <v>11</v>
      </c>
    </row>
    <row r="23" spans="1:10">
      <c r="A23" s="207">
        <v>22</v>
      </c>
      <c r="B23" s="102">
        <v>12</v>
      </c>
      <c r="C23" s="103">
        <v>6.5335165462808442</v>
      </c>
      <c r="D23" s="103">
        <v>0.11794925570484338</v>
      </c>
    </row>
    <row r="24" spans="1:10">
      <c r="A24" s="208"/>
      <c r="B24" s="102">
        <v>16</v>
      </c>
      <c r="C24" s="103">
        <v>6.467029375441844</v>
      </c>
      <c r="D24" s="103">
        <v>0.14462366799307347</v>
      </c>
    </row>
    <row r="25" spans="1:10">
      <c r="A25" s="208"/>
      <c r="B25" s="102">
        <v>37</v>
      </c>
      <c r="C25" s="103">
        <v>8.2590304403912658</v>
      </c>
      <c r="D25" s="103">
        <v>3.2314371069332992E-2</v>
      </c>
    </row>
    <row r="26" spans="1:10">
      <c r="A26" s="208"/>
      <c r="B26" s="102">
        <v>41</v>
      </c>
      <c r="C26" s="103">
        <v>5.6527211105731308</v>
      </c>
      <c r="D26" s="103">
        <v>1.0069242425136812E-2</v>
      </c>
    </row>
    <row r="27" spans="1:10">
      <c r="A27" s="209"/>
      <c r="B27" s="104" t="s">
        <v>22</v>
      </c>
      <c r="C27" s="105">
        <f>AVERAGE(C23:C26)</f>
        <v>6.7280743681717716</v>
      </c>
      <c r="D27" s="103"/>
    </row>
    <row r="28" spans="1:10">
      <c r="A28" s="210">
        <v>24</v>
      </c>
      <c r="B28" s="106">
        <v>63</v>
      </c>
      <c r="C28" s="107">
        <v>6.7060731548409453</v>
      </c>
      <c r="D28" s="107">
        <v>2.689771103541716E-2</v>
      </c>
    </row>
    <row r="29" spans="1:10">
      <c r="A29" s="211"/>
      <c r="B29" s="106">
        <v>67</v>
      </c>
      <c r="C29" s="107">
        <v>5.0219386149203906</v>
      </c>
      <c r="D29" s="107">
        <v>8.6031721371000458E-3</v>
      </c>
    </row>
    <row r="30" spans="1:10">
      <c r="A30" s="211"/>
      <c r="B30" s="106">
        <v>88</v>
      </c>
      <c r="C30" s="107">
        <v>5.7520253261754108</v>
      </c>
      <c r="D30" s="107">
        <v>2.5185997257267445E-2</v>
      </c>
    </row>
    <row r="31" spans="1:10">
      <c r="A31" s="211"/>
      <c r="B31" s="106"/>
      <c r="C31" s="107"/>
      <c r="D31" s="107"/>
    </row>
    <row r="32" spans="1:10">
      <c r="A32" s="212"/>
      <c r="B32" s="108" t="s">
        <v>22</v>
      </c>
      <c r="C32" s="109">
        <f>AVERAGE(C28:C31)</f>
        <v>5.8266790319789159</v>
      </c>
      <c r="D32" s="107"/>
    </row>
    <row r="33" spans="1:4">
      <c r="A33" s="213">
        <v>26</v>
      </c>
      <c r="B33" s="110">
        <v>59</v>
      </c>
      <c r="C33" s="111">
        <v>5.8341519577335088</v>
      </c>
      <c r="D33" s="111">
        <v>4.7173572464089375E-2</v>
      </c>
    </row>
    <row r="34" spans="1:4">
      <c r="A34" s="214"/>
      <c r="B34" s="110">
        <v>61</v>
      </c>
      <c r="C34" s="111">
        <v>6.3076849626992262</v>
      </c>
      <c r="D34" s="111">
        <v>4.026552809682471E-2</v>
      </c>
    </row>
    <row r="35" spans="1:4">
      <c r="A35" s="214"/>
      <c r="B35" s="110">
        <v>84</v>
      </c>
      <c r="C35" s="111">
        <v>5.4878183473794229</v>
      </c>
      <c r="D35" s="111">
        <v>3.1711574472865323E-2</v>
      </c>
    </row>
    <row r="36" spans="1:4">
      <c r="A36" s="215"/>
      <c r="B36" s="112" t="s">
        <v>22</v>
      </c>
      <c r="C36" s="113">
        <f>AVERAGE(C33:C35)</f>
        <v>5.8765517559373857</v>
      </c>
      <c r="D36" s="111"/>
    </row>
    <row r="37" spans="1:4">
      <c r="A37" s="216">
        <v>28</v>
      </c>
      <c r="B37" s="114">
        <v>8</v>
      </c>
      <c r="C37" s="115">
        <v>5.0745800173394997</v>
      </c>
      <c r="D37" s="115">
        <v>7.3553706441543909E-2</v>
      </c>
    </row>
    <row r="38" spans="1:4">
      <c r="A38" s="217"/>
      <c r="B38" s="114">
        <v>33</v>
      </c>
      <c r="C38" s="115">
        <v>5.4699513825770865</v>
      </c>
      <c r="D38" s="115">
        <v>3.3209712818461412E-2</v>
      </c>
    </row>
    <row r="39" spans="1:4">
      <c r="A39" s="217"/>
      <c r="B39" s="114">
        <v>35</v>
      </c>
      <c r="C39" s="115">
        <v>8.1883549087764216</v>
      </c>
      <c r="D39" s="115">
        <v>2.5388063637365121E-2</v>
      </c>
    </row>
    <row r="40" spans="1:4">
      <c r="A40" s="218"/>
      <c r="B40" s="114" t="s">
        <v>22</v>
      </c>
      <c r="C40" s="116">
        <f>AVERAGE(C37:C39)</f>
        <v>6.2442954362310026</v>
      </c>
      <c r="D40" s="115"/>
    </row>
  </sheetData>
  <mergeCells count="4">
    <mergeCell ref="A23:A27"/>
    <mergeCell ref="A28:A32"/>
    <mergeCell ref="A33:A36"/>
    <mergeCell ref="A37:A40"/>
  </mergeCells>
  <conditionalFormatting sqref="F5:F18">
    <cfRule type="cellIs" dxfId="7" priority="1" operator="greaterThan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489A-B668-46E0-B248-9440EA0E4A3B}">
  <dimension ref="A2:V23"/>
  <sheetViews>
    <sheetView workbookViewId="0">
      <selection activeCell="O29" sqref="O29"/>
    </sheetView>
    <sheetView zoomScaleNormal="100" workbookViewId="1">
      <selection activeCell="U2" sqref="U2"/>
    </sheetView>
  </sheetViews>
  <sheetFormatPr defaultRowHeight="15"/>
  <cols>
    <col min="1" max="1" width="10.85546875" customWidth="1"/>
    <col min="2" max="2" width="11.5703125" customWidth="1"/>
    <col min="3" max="3" width="13.7109375" customWidth="1"/>
    <col min="4" max="4" width="10" customWidth="1"/>
    <col min="5" max="5" width="13.140625" customWidth="1"/>
    <col min="6" max="6" width="13.42578125" customWidth="1"/>
    <col min="7" max="7" width="9.28515625" customWidth="1"/>
    <col min="8" max="8" width="12.5703125" customWidth="1"/>
    <col min="9" max="9" width="13.140625" customWidth="1"/>
    <col min="11" max="11" width="11" customWidth="1"/>
    <col min="12" max="12" width="13.140625" customWidth="1"/>
    <col min="13" max="13" width="9.85546875" customWidth="1"/>
    <col min="15" max="15" width="14.5703125" customWidth="1"/>
    <col min="16" max="16" width="10.5703125" customWidth="1"/>
    <col min="18" max="18" width="12.5703125" customWidth="1"/>
    <col min="19" max="19" width="14.7109375" bestFit="1" customWidth="1"/>
  </cols>
  <sheetData>
    <row r="2" spans="1:22" ht="15.75" thickBot="1">
      <c r="R2" s="201"/>
      <c r="S2" s="201" t="s">
        <v>29</v>
      </c>
      <c r="T2" s="201"/>
      <c r="U2" s="201"/>
      <c r="V2" s="201"/>
    </row>
    <row r="3" spans="1:22" ht="15.75" thickBot="1">
      <c r="A3" s="190" t="s">
        <v>30</v>
      </c>
      <c r="B3" s="219">
        <v>5</v>
      </c>
      <c r="C3" s="220"/>
      <c r="D3" s="221"/>
      <c r="E3" s="219">
        <v>7</v>
      </c>
      <c r="F3" s="220"/>
      <c r="G3" s="221"/>
      <c r="H3" s="219">
        <v>9</v>
      </c>
      <c r="I3" s="220"/>
      <c r="J3" s="221"/>
      <c r="K3" s="219">
        <v>11</v>
      </c>
      <c r="L3" s="220"/>
      <c r="M3" s="221"/>
      <c r="N3" s="234">
        <v>16</v>
      </c>
      <c r="O3" s="235"/>
      <c r="P3" s="236"/>
      <c r="Q3" s="219">
        <v>12</v>
      </c>
      <c r="R3" s="220"/>
      <c r="S3" s="221"/>
      <c r="T3" s="219">
        <v>15</v>
      </c>
      <c r="U3" s="220"/>
      <c r="V3" s="221"/>
    </row>
    <row r="4" spans="1:22" ht="15.75" thickBot="1">
      <c r="A4" s="186" t="s">
        <v>20</v>
      </c>
      <c r="B4" s="187" t="s">
        <v>9</v>
      </c>
      <c r="C4" s="188" t="s">
        <v>21</v>
      </c>
      <c r="D4" s="189" t="s">
        <v>11</v>
      </c>
      <c r="E4" s="187" t="s">
        <v>9</v>
      </c>
      <c r="F4" s="188" t="s">
        <v>21</v>
      </c>
      <c r="G4" s="189" t="s">
        <v>11</v>
      </c>
      <c r="H4" s="187" t="s">
        <v>9</v>
      </c>
      <c r="I4" s="188" t="s">
        <v>21</v>
      </c>
      <c r="J4" s="189" t="s">
        <v>11</v>
      </c>
      <c r="K4" s="187" t="s">
        <v>9</v>
      </c>
      <c r="L4" s="188" t="s">
        <v>21</v>
      </c>
      <c r="M4" s="189" t="s">
        <v>11</v>
      </c>
      <c r="N4" s="187" t="s">
        <v>9</v>
      </c>
      <c r="O4" s="188" t="s">
        <v>21</v>
      </c>
      <c r="P4" s="189" t="s">
        <v>11</v>
      </c>
      <c r="Q4" s="187" t="s">
        <v>9</v>
      </c>
      <c r="R4" s="188" t="s">
        <v>21</v>
      </c>
      <c r="S4" s="189" t="s">
        <v>11</v>
      </c>
      <c r="T4" s="187" t="s">
        <v>9</v>
      </c>
      <c r="U4" s="188" t="s">
        <v>21</v>
      </c>
      <c r="V4" s="189" t="s">
        <v>11</v>
      </c>
    </row>
    <row r="5" spans="1:22">
      <c r="A5" s="225">
        <v>22</v>
      </c>
      <c r="B5" s="153">
        <v>12</v>
      </c>
      <c r="C5" s="154">
        <v>8.6189027012636554</v>
      </c>
      <c r="D5" s="155">
        <v>6.8842848011627211E-2</v>
      </c>
      <c r="E5" s="153">
        <v>12</v>
      </c>
      <c r="F5" s="154">
        <v>4.5594943580000002</v>
      </c>
      <c r="G5" s="155">
        <v>8.2247903999999997E-2</v>
      </c>
      <c r="H5" s="153">
        <v>12</v>
      </c>
      <c r="I5" s="154">
        <v>6.5335165462808442</v>
      </c>
      <c r="J5" s="155">
        <v>0.11794925570484338</v>
      </c>
      <c r="K5" s="153">
        <v>37</v>
      </c>
      <c r="L5" s="154">
        <v>5.6724267375450532</v>
      </c>
      <c r="M5" s="155">
        <v>1.3169828313948528E-2</v>
      </c>
      <c r="N5" s="153">
        <v>12</v>
      </c>
      <c r="O5" s="154">
        <v>3.9908181301583792</v>
      </c>
      <c r="P5" s="155">
        <v>4.9396966322547087E-2</v>
      </c>
      <c r="Q5" s="153">
        <v>24</v>
      </c>
      <c r="R5" s="154">
        <v>7.0545806950000003</v>
      </c>
      <c r="S5" s="155">
        <v>0.20910891300000001</v>
      </c>
      <c r="T5" s="153">
        <v>24</v>
      </c>
      <c r="U5" s="154">
        <v>7.4253166569999998</v>
      </c>
      <c r="V5" s="155">
        <v>5.7048755E-2</v>
      </c>
    </row>
    <row r="6" spans="1:22">
      <c r="A6" s="226"/>
      <c r="B6" s="145">
        <v>16</v>
      </c>
      <c r="C6" s="103">
        <v>8.1633818582284032</v>
      </c>
      <c r="D6" s="146">
        <v>5.1931010940279521E-2</v>
      </c>
      <c r="E6" s="145">
        <v>16</v>
      </c>
      <c r="F6" s="103">
        <v>4.5676044988506277</v>
      </c>
      <c r="G6" s="146">
        <v>3.133323493602802E-2</v>
      </c>
      <c r="H6" s="145">
        <v>16</v>
      </c>
      <c r="I6" s="103">
        <v>6.467029375441844</v>
      </c>
      <c r="J6" s="146">
        <v>0.14462366799307347</v>
      </c>
      <c r="K6" s="145" t="s">
        <v>31</v>
      </c>
      <c r="L6" s="102" t="s">
        <v>31</v>
      </c>
      <c r="M6" s="152" t="s">
        <v>31</v>
      </c>
      <c r="N6" s="145">
        <v>16</v>
      </c>
      <c r="O6" s="103">
        <v>4.1715901871778902</v>
      </c>
      <c r="P6" s="146">
        <v>3.7808325310834334E-2</v>
      </c>
      <c r="Q6" s="145">
        <v>36</v>
      </c>
      <c r="R6" s="103">
        <v>7.5593760029999997</v>
      </c>
      <c r="S6" s="146">
        <v>0.33270248899999999</v>
      </c>
      <c r="T6" s="145" t="s">
        <v>31</v>
      </c>
      <c r="U6" s="103" t="s">
        <v>31</v>
      </c>
      <c r="V6" s="146" t="s">
        <v>31</v>
      </c>
    </row>
    <row r="7" spans="1:22">
      <c r="A7" s="226"/>
      <c r="B7" s="162">
        <v>37</v>
      </c>
      <c r="C7" s="163">
        <v>8.4013352113930537</v>
      </c>
      <c r="D7" s="164">
        <v>0.13407391979308159</v>
      </c>
      <c r="E7" s="162" t="s">
        <v>31</v>
      </c>
      <c r="F7" s="163" t="s">
        <v>31</v>
      </c>
      <c r="G7" s="164" t="s">
        <v>31</v>
      </c>
      <c r="H7" s="162">
        <v>37</v>
      </c>
      <c r="I7" s="163">
        <v>8.2590304403912658</v>
      </c>
      <c r="J7" s="164">
        <v>3.2314371069332992E-2</v>
      </c>
      <c r="K7" s="162" t="s">
        <v>31</v>
      </c>
      <c r="L7" s="143" t="s">
        <v>31</v>
      </c>
      <c r="M7" s="165" t="s">
        <v>31</v>
      </c>
      <c r="N7" s="162">
        <v>37</v>
      </c>
      <c r="O7" s="163">
        <v>5.0957503147651835</v>
      </c>
      <c r="P7" s="164">
        <v>2.8705434704988875E-2</v>
      </c>
      <c r="Q7" s="162" t="s">
        <v>31</v>
      </c>
      <c r="R7" s="163" t="s">
        <v>31</v>
      </c>
      <c r="S7" s="164" t="s">
        <v>31</v>
      </c>
      <c r="T7" s="162" t="s">
        <v>31</v>
      </c>
      <c r="U7" s="163" t="s">
        <v>31</v>
      </c>
      <c r="V7" s="164" t="s">
        <v>31</v>
      </c>
    </row>
    <row r="8" spans="1:22" ht="15.75" thickBot="1">
      <c r="A8" s="226"/>
      <c r="B8" s="162">
        <v>41</v>
      </c>
      <c r="C8" s="163">
        <v>8.0028449702498623</v>
      </c>
      <c r="D8" s="164">
        <v>3.6268594409193611E-2</v>
      </c>
      <c r="E8" s="162">
        <v>41</v>
      </c>
      <c r="F8" s="163">
        <v>4.7918199350000004</v>
      </c>
      <c r="G8" s="164">
        <v>1.8803199E-2</v>
      </c>
      <c r="H8" s="162">
        <v>41</v>
      </c>
      <c r="I8" s="163">
        <v>5.6527211105731308</v>
      </c>
      <c r="J8" s="164">
        <v>1.0069242425136812E-2</v>
      </c>
      <c r="K8" s="162" t="s">
        <v>31</v>
      </c>
      <c r="L8" s="143" t="s">
        <v>31</v>
      </c>
      <c r="M8" s="165" t="s">
        <v>31</v>
      </c>
      <c r="N8" s="162">
        <v>41</v>
      </c>
      <c r="O8" s="163">
        <v>4.7250512506870326</v>
      </c>
      <c r="P8" s="164">
        <v>1.4534885657667473E-2</v>
      </c>
      <c r="Q8" s="162">
        <v>39</v>
      </c>
      <c r="R8" s="163">
        <v>6.8878791560000003</v>
      </c>
      <c r="S8" s="164">
        <v>2.2577854000000001E-2</v>
      </c>
      <c r="T8" s="162">
        <v>39</v>
      </c>
      <c r="U8" s="163">
        <v>7.2038043270000003</v>
      </c>
      <c r="V8" s="164">
        <v>6.6264409999999996E-2</v>
      </c>
    </row>
    <row r="9" spans="1:22" ht="15.75" thickBot="1">
      <c r="A9" s="227"/>
      <c r="B9" s="166" t="s">
        <v>22</v>
      </c>
      <c r="C9" s="167">
        <f>AVERAGE(C5:C8)</f>
        <v>8.2966161852837441</v>
      </c>
      <c r="D9" s="168"/>
      <c r="E9" s="166" t="s">
        <v>22</v>
      </c>
      <c r="F9" s="167">
        <f>AVERAGE(F5:F8)</f>
        <v>4.6396395972835434</v>
      </c>
      <c r="G9" s="168"/>
      <c r="H9" s="166" t="s">
        <v>22</v>
      </c>
      <c r="I9" s="167">
        <f>AVERAGE(I5:I8)</f>
        <v>6.7280743681717716</v>
      </c>
      <c r="J9" s="168"/>
      <c r="K9" s="166" t="s">
        <v>22</v>
      </c>
      <c r="L9" s="167">
        <f>AVERAGE(L5:L5)</f>
        <v>5.6724267375450532</v>
      </c>
      <c r="M9" s="168"/>
      <c r="N9" s="166" t="s">
        <v>22</v>
      </c>
      <c r="O9" s="167">
        <f>AVERAGE(O5:O8)</f>
        <v>4.4958024706971216</v>
      </c>
      <c r="P9" s="168"/>
      <c r="Q9" s="166" t="s">
        <v>22</v>
      </c>
      <c r="R9" s="167">
        <f>AVERAGE(R5:R8)</f>
        <v>7.1672786180000001</v>
      </c>
      <c r="S9" s="168"/>
      <c r="T9" s="166" t="s">
        <v>22</v>
      </c>
      <c r="U9" s="167">
        <f>AVERAGE(U5:U6)</f>
        <v>7.4253166569999998</v>
      </c>
      <c r="V9" s="168"/>
    </row>
    <row r="10" spans="1:22">
      <c r="A10" s="228">
        <v>24</v>
      </c>
      <c r="B10" s="156">
        <v>63</v>
      </c>
      <c r="C10" s="157">
        <v>6.7016684972078</v>
      </c>
      <c r="D10" s="158">
        <v>4.2181948723282403E-2</v>
      </c>
      <c r="E10" s="156">
        <v>63</v>
      </c>
      <c r="F10" s="157">
        <v>5.40520160478109</v>
      </c>
      <c r="G10" s="158">
        <v>1.1621005678534857E-2</v>
      </c>
      <c r="H10" s="156">
        <v>63</v>
      </c>
      <c r="I10" s="157">
        <v>6.7060731548409453</v>
      </c>
      <c r="J10" s="158">
        <v>2.689771103541716E-2</v>
      </c>
      <c r="K10" s="156">
        <v>54</v>
      </c>
      <c r="L10" s="157">
        <v>4.5212135921007519</v>
      </c>
      <c r="M10" s="158">
        <v>7.8438195787384757E-3</v>
      </c>
      <c r="N10" s="156">
        <v>63</v>
      </c>
      <c r="O10" s="157">
        <v>4.8243280065766152</v>
      </c>
      <c r="P10" s="158">
        <v>2.1049146845598443E-2</v>
      </c>
      <c r="Q10" s="156">
        <v>51</v>
      </c>
      <c r="R10" s="157">
        <v>6.2792691490000001</v>
      </c>
      <c r="S10" s="158">
        <v>1.6077686000000001E-2</v>
      </c>
      <c r="T10" s="156">
        <v>51</v>
      </c>
      <c r="U10" s="157">
        <v>7.7869171870000002</v>
      </c>
      <c r="V10" s="158">
        <v>8.3944569999999993E-3</v>
      </c>
    </row>
    <row r="11" spans="1:22">
      <c r="A11" s="229"/>
      <c r="B11" s="147">
        <v>67</v>
      </c>
      <c r="C11" s="107">
        <v>6.6207461955105984</v>
      </c>
      <c r="D11" s="148">
        <v>7.5842604392164503E-2</v>
      </c>
      <c r="E11" s="147">
        <v>65</v>
      </c>
      <c r="F11" s="107">
        <v>4.6602054958804366</v>
      </c>
      <c r="G11" s="148">
        <v>6.9539105330477469E-2</v>
      </c>
      <c r="H11" s="147">
        <v>67</v>
      </c>
      <c r="I11" s="107">
        <v>5.0219386149203906</v>
      </c>
      <c r="J11" s="148">
        <v>8.6031721371000458E-3</v>
      </c>
      <c r="K11" s="147">
        <v>76</v>
      </c>
      <c r="L11" s="107">
        <v>5.144772327798993</v>
      </c>
      <c r="M11" s="148">
        <v>1.8529103892433341E-2</v>
      </c>
      <c r="N11" s="147">
        <v>67</v>
      </c>
      <c r="O11" s="107">
        <v>4.1038373403563586</v>
      </c>
      <c r="P11" s="148">
        <v>1.8351032804730494E-2</v>
      </c>
      <c r="Q11" s="147">
        <v>54</v>
      </c>
      <c r="R11" s="107">
        <v>3.4768161219999998</v>
      </c>
      <c r="S11" s="148">
        <v>6.0001730000000001E-3</v>
      </c>
      <c r="T11" s="147">
        <v>54</v>
      </c>
      <c r="U11" s="107">
        <v>6.2923482249999996</v>
      </c>
      <c r="V11" s="148">
        <v>5.7101180000000001E-3</v>
      </c>
    </row>
    <row r="12" spans="1:22">
      <c r="A12" s="229"/>
      <c r="B12" s="147">
        <v>88</v>
      </c>
      <c r="C12" s="107">
        <v>6.4793117777238516</v>
      </c>
      <c r="D12" s="148">
        <v>6.5128094405736192E-2</v>
      </c>
      <c r="E12" s="147">
        <v>88</v>
      </c>
      <c r="F12" s="107">
        <v>4.050785952</v>
      </c>
      <c r="G12" s="148">
        <v>2.7279707E-2</v>
      </c>
      <c r="H12" s="147">
        <v>88</v>
      </c>
      <c r="I12" s="107">
        <v>5.7520253261754108</v>
      </c>
      <c r="J12" s="148">
        <v>2.5185997257267445E-2</v>
      </c>
      <c r="K12" s="147">
        <v>89</v>
      </c>
      <c r="L12" s="107">
        <v>4.4133391833875422</v>
      </c>
      <c r="M12" s="148">
        <v>1.5171549496244552E-2</v>
      </c>
      <c r="N12" s="147">
        <v>88</v>
      </c>
      <c r="O12" s="107">
        <v>4.0451670107815128</v>
      </c>
      <c r="P12" s="148">
        <v>1.0901526683028351E-2</v>
      </c>
      <c r="Q12" s="147">
        <v>63</v>
      </c>
      <c r="R12" s="107">
        <v>5.2923086369999996</v>
      </c>
      <c r="S12" s="148">
        <v>7.2220966999999997E-2</v>
      </c>
      <c r="T12" s="147">
        <v>63</v>
      </c>
      <c r="U12" s="107">
        <v>7.2757575760000002</v>
      </c>
      <c r="V12" s="148">
        <v>5.9220968999999998E-2</v>
      </c>
    </row>
    <row r="13" spans="1:22" ht="15.75" thickBot="1">
      <c r="A13" s="229"/>
      <c r="B13" s="169">
        <v>92</v>
      </c>
      <c r="C13" s="170">
        <v>8.6975148253180414</v>
      </c>
      <c r="D13" s="171">
        <v>0.15427714356519573</v>
      </c>
      <c r="E13" s="169">
        <v>92</v>
      </c>
      <c r="F13" s="170">
        <v>4.7759515053081287</v>
      </c>
      <c r="G13" s="171">
        <v>6.773169533971668E-3</v>
      </c>
      <c r="H13" s="169"/>
      <c r="I13" s="170"/>
      <c r="J13" s="171"/>
      <c r="K13" s="169" t="s">
        <v>31</v>
      </c>
      <c r="L13" s="142" t="s">
        <v>31</v>
      </c>
      <c r="M13" s="172" t="s">
        <v>31</v>
      </c>
      <c r="N13" s="169">
        <v>92</v>
      </c>
      <c r="O13" s="170">
        <v>5.100705862728562</v>
      </c>
      <c r="P13" s="171">
        <v>1.7906477659835218E-2</v>
      </c>
      <c r="Q13" s="169">
        <v>78</v>
      </c>
      <c r="R13" s="170">
        <v>4.0410066740000001</v>
      </c>
      <c r="S13" s="171">
        <v>1.4557970999999999E-2</v>
      </c>
      <c r="T13" s="169">
        <v>78</v>
      </c>
      <c r="U13" s="170">
        <v>5.2635111600000002</v>
      </c>
      <c r="V13" s="171">
        <v>1.1641517000000001E-2</v>
      </c>
    </row>
    <row r="14" spans="1:22" ht="15.75" thickBot="1">
      <c r="A14" s="230"/>
      <c r="B14" s="173" t="s">
        <v>22</v>
      </c>
      <c r="C14" s="174">
        <f>AVERAGE(C10:C13)</f>
        <v>7.1248103239400731</v>
      </c>
      <c r="D14" s="175"/>
      <c r="E14" s="173" t="s">
        <v>22</v>
      </c>
      <c r="F14" s="174">
        <f>AVERAGE(F10:F13)</f>
        <v>4.7230361394924145</v>
      </c>
      <c r="G14" s="175"/>
      <c r="H14" s="173" t="s">
        <v>22</v>
      </c>
      <c r="I14" s="174">
        <f>AVERAGE(I10:I13)</f>
        <v>5.8266790319789159</v>
      </c>
      <c r="J14" s="175"/>
      <c r="K14" s="173" t="s">
        <v>22</v>
      </c>
      <c r="L14" s="174">
        <f>AVERAGE(L10:L12)</f>
        <v>4.693108367762429</v>
      </c>
      <c r="M14" s="175"/>
      <c r="N14" s="173" t="s">
        <v>22</v>
      </c>
      <c r="O14" s="174">
        <f>AVERAGE(O10:O13)</f>
        <v>4.5185095551107626</v>
      </c>
      <c r="P14" s="175"/>
      <c r="Q14" s="173" t="s">
        <v>22</v>
      </c>
      <c r="R14" s="174">
        <f>AVERAGE(R10:R13)</f>
        <v>4.7723501454999999</v>
      </c>
      <c r="S14" s="175"/>
      <c r="T14" s="173" t="s">
        <v>22</v>
      </c>
      <c r="U14" s="174">
        <f>AVERAGE(U10:U13)</f>
        <v>6.6546335370000005</v>
      </c>
      <c r="V14" s="175"/>
    </row>
    <row r="15" spans="1:22">
      <c r="A15" s="231">
        <v>26</v>
      </c>
      <c r="B15" s="195">
        <v>59</v>
      </c>
      <c r="C15" s="196">
        <v>5.7121413431431289</v>
      </c>
      <c r="D15" s="197">
        <v>2.0440519488602149E-2</v>
      </c>
      <c r="E15" s="195">
        <v>59</v>
      </c>
      <c r="F15" s="196">
        <v>4.6096069079999999</v>
      </c>
      <c r="G15" s="197">
        <v>5.4239010999999997E-2</v>
      </c>
      <c r="H15" s="195">
        <v>59</v>
      </c>
      <c r="I15" s="196">
        <v>5.8341519577335088</v>
      </c>
      <c r="J15" s="197">
        <v>4.7173572464089375E-2</v>
      </c>
      <c r="K15" s="195">
        <v>58</v>
      </c>
      <c r="L15" s="196">
        <v>4.9321930232132321</v>
      </c>
      <c r="M15" s="197">
        <v>2.6034511499346991E-2</v>
      </c>
      <c r="N15" s="195">
        <v>59</v>
      </c>
      <c r="O15" s="196">
        <v>4.8603507741858758</v>
      </c>
      <c r="P15" s="197">
        <v>5.3018829875327356E-2</v>
      </c>
      <c r="Q15" s="195">
        <v>72</v>
      </c>
      <c r="R15" s="196">
        <v>3.8239437550000002</v>
      </c>
      <c r="S15" s="197">
        <v>5.6732105999999997E-2</v>
      </c>
      <c r="T15" s="195">
        <v>72</v>
      </c>
      <c r="U15" s="196">
        <v>4.1770587890000002</v>
      </c>
      <c r="V15" s="197">
        <v>1.844966E-3</v>
      </c>
    </row>
    <row r="16" spans="1:22">
      <c r="A16" s="232"/>
      <c r="B16" s="198">
        <v>61</v>
      </c>
      <c r="C16" s="199">
        <v>5.7012176993770183</v>
      </c>
      <c r="D16" s="200">
        <v>6.7994550654475461E-2</v>
      </c>
      <c r="E16" s="198" t="s">
        <v>31</v>
      </c>
      <c r="F16" s="199" t="s">
        <v>31</v>
      </c>
      <c r="G16" s="200" t="s">
        <v>31</v>
      </c>
      <c r="H16" s="198">
        <v>61</v>
      </c>
      <c r="I16" s="199">
        <v>6.3076849626992262</v>
      </c>
      <c r="J16" s="200">
        <v>4.026552809682471E-2</v>
      </c>
      <c r="K16" s="198" t="s">
        <v>31</v>
      </c>
      <c r="L16" s="199" t="s">
        <v>31</v>
      </c>
      <c r="M16" s="200" t="s">
        <v>31</v>
      </c>
      <c r="N16" s="198">
        <v>61</v>
      </c>
      <c r="O16" s="199">
        <v>4.9682207958799998</v>
      </c>
      <c r="P16" s="200">
        <v>1.4070931883452431E-2</v>
      </c>
      <c r="Q16" s="198" t="s">
        <v>31</v>
      </c>
      <c r="R16" s="199" t="s">
        <v>31</v>
      </c>
      <c r="S16" s="200" t="s">
        <v>31</v>
      </c>
      <c r="T16" s="198" t="s">
        <v>31</v>
      </c>
      <c r="U16" s="199" t="s">
        <v>31</v>
      </c>
      <c r="V16" s="200" t="s">
        <v>31</v>
      </c>
    </row>
    <row r="17" spans="1:22" ht="15.75" thickBot="1">
      <c r="A17" s="232"/>
      <c r="B17" s="192">
        <v>84</v>
      </c>
      <c r="C17" s="193">
        <v>5.5739141311532645</v>
      </c>
      <c r="D17" s="194">
        <v>6.0228033852278408E-2</v>
      </c>
      <c r="E17" s="192" t="s">
        <v>31</v>
      </c>
      <c r="F17" s="193" t="s">
        <v>31</v>
      </c>
      <c r="G17" s="194" t="s">
        <v>31</v>
      </c>
      <c r="H17" s="192">
        <v>84</v>
      </c>
      <c r="I17" s="193">
        <v>5.4878183473794229</v>
      </c>
      <c r="J17" s="194">
        <v>3.1711574472865323E-2</v>
      </c>
      <c r="K17" s="192" t="s">
        <v>31</v>
      </c>
      <c r="L17" s="193" t="s">
        <v>31</v>
      </c>
      <c r="M17" s="194" t="s">
        <v>31</v>
      </c>
      <c r="N17" s="192">
        <v>84</v>
      </c>
      <c r="O17" s="193">
        <v>4.0153259383042244</v>
      </c>
      <c r="P17" s="194">
        <v>2.5715629974456533E-2</v>
      </c>
      <c r="Q17" s="192" t="s">
        <v>31</v>
      </c>
      <c r="R17" s="193" t="s">
        <v>31</v>
      </c>
      <c r="S17" s="194" t="s">
        <v>31</v>
      </c>
      <c r="T17" s="192" t="s">
        <v>31</v>
      </c>
      <c r="U17" s="193" t="s">
        <v>31</v>
      </c>
      <c r="V17" s="194" t="s">
        <v>31</v>
      </c>
    </row>
    <row r="18" spans="1:22" ht="15.75" thickBot="1">
      <c r="A18" s="233"/>
      <c r="B18" s="176" t="s">
        <v>22</v>
      </c>
      <c r="C18" s="177">
        <f>AVERAGE(C15:C17)</f>
        <v>5.6624243912244703</v>
      </c>
      <c r="D18" s="178"/>
      <c r="E18" s="176" t="s">
        <v>22</v>
      </c>
      <c r="F18" s="177">
        <f>AVERAGE(F15:F15)</f>
        <v>4.6096069079999999</v>
      </c>
      <c r="G18" s="178"/>
      <c r="H18" s="176" t="s">
        <v>22</v>
      </c>
      <c r="I18" s="177">
        <f>AVERAGE(I15:I17)</f>
        <v>5.8765517559373857</v>
      </c>
      <c r="J18" s="178"/>
      <c r="K18" s="176" t="s">
        <v>22</v>
      </c>
      <c r="L18" s="177">
        <f>AVERAGE(L15:L15)</f>
        <v>4.9321930232132321</v>
      </c>
      <c r="M18" s="178"/>
      <c r="N18" s="176" t="s">
        <v>22</v>
      </c>
      <c r="O18" s="177">
        <f>AVERAGE(O15:O17)</f>
        <v>4.614632502790033</v>
      </c>
      <c r="P18" s="178"/>
      <c r="Q18" s="176" t="s">
        <v>22</v>
      </c>
      <c r="R18" s="177">
        <f>AVERAGE(R15:R15)</f>
        <v>3.8239437550000002</v>
      </c>
      <c r="S18" s="178"/>
      <c r="T18" s="176" t="s">
        <v>22</v>
      </c>
      <c r="U18" s="177">
        <f>AVERAGE(U15:U15)</f>
        <v>4.1770587890000002</v>
      </c>
      <c r="V18" s="178"/>
    </row>
    <row r="19" spans="1:22">
      <c r="A19" s="222">
        <v>28</v>
      </c>
      <c r="B19" s="159">
        <v>8</v>
      </c>
      <c r="C19" s="160">
        <v>5.3469286060422005</v>
      </c>
      <c r="D19" s="161">
        <v>3.0592889616855246E-2</v>
      </c>
      <c r="E19" s="159">
        <v>8</v>
      </c>
      <c r="F19" s="160">
        <v>3.8016985390000002</v>
      </c>
      <c r="G19" s="161">
        <v>6.5715203E-2</v>
      </c>
      <c r="H19" s="159">
        <v>8</v>
      </c>
      <c r="I19" s="160">
        <v>5.0745800173394997</v>
      </c>
      <c r="J19" s="161">
        <v>7.3553706441543909E-2</v>
      </c>
      <c r="K19" s="159">
        <v>1</v>
      </c>
      <c r="L19" s="160">
        <v>4.7761622863905213</v>
      </c>
      <c r="M19" s="161">
        <v>2.444326154673945</v>
      </c>
      <c r="N19" s="159">
        <v>8</v>
      </c>
      <c r="O19" s="160">
        <v>4.1715901871778902</v>
      </c>
      <c r="P19" s="161">
        <v>3.7808325310834334E-2</v>
      </c>
      <c r="Q19" s="159">
        <v>10</v>
      </c>
      <c r="R19" s="160">
        <v>3.0386560579999999</v>
      </c>
      <c r="S19" s="161">
        <v>2.9479292000000001E-2</v>
      </c>
      <c r="T19" s="159">
        <v>10</v>
      </c>
      <c r="U19" s="160">
        <v>3.542798179</v>
      </c>
      <c r="V19" s="161">
        <v>4.2860099999999998E-2</v>
      </c>
    </row>
    <row r="20" spans="1:22">
      <c r="A20" s="223"/>
      <c r="B20" s="149">
        <v>33</v>
      </c>
      <c r="C20" s="115">
        <v>4.795825021543429</v>
      </c>
      <c r="D20" s="150">
        <v>3.3622595387441834E-2</v>
      </c>
      <c r="E20" s="149">
        <v>33</v>
      </c>
      <c r="F20" s="115">
        <v>3.9804322679999999</v>
      </c>
      <c r="G20" s="150">
        <v>2.8292244000000001E-2</v>
      </c>
      <c r="H20" s="149">
        <v>33</v>
      </c>
      <c r="I20" s="115">
        <v>5.4699513825770865</v>
      </c>
      <c r="J20" s="150">
        <v>3.3209712818461412E-2</v>
      </c>
      <c r="K20" s="149">
        <v>33</v>
      </c>
      <c r="L20" s="115">
        <v>4.9059561153155986</v>
      </c>
      <c r="M20" s="150">
        <v>4.575777719674079E-2</v>
      </c>
      <c r="N20" s="149">
        <v>33</v>
      </c>
      <c r="O20" s="115">
        <v>4.4122907302052754</v>
      </c>
      <c r="P20" s="150">
        <v>1.9374125972717593E-2</v>
      </c>
      <c r="Q20" s="149">
        <v>48</v>
      </c>
      <c r="R20" s="115">
        <v>4.9315566400000002</v>
      </c>
      <c r="S20" s="150">
        <v>1.6351369000000001E-2</v>
      </c>
      <c r="T20" s="149">
        <v>48</v>
      </c>
      <c r="U20" s="115">
        <v>6.1933853069999998</v>
      </c>
      <c r="V20" s="150">
        <v>4.6507900000000002E-4</v>
      </c>
    </row>
    <row r="21" spans="1:22">
      <c r="A21" s="223"/>
      <c r="B21" s="149">
        <v>35</v>
      </c>
      <c r="C21" s="115">
        <v>5.2665889038384117</v>
      </c>
      <c r="D21" s="150">
        <v>1.4916906640337402E-2</v>
      </c>
      <c r="E21" s="149">
        <v>35</v>
      </c>
      <c r="F21" s="115">
        <v>4.9293884849999996</v>
      </c>
      <c r="G21" s="150">
        <v>3.4349449999999997E-2</v>
      </c>
      <c r="H21" s="149">
        <v>35</v>
      </c>
      <c r="I21" s="205">
        <v>8.1883549087764216</v>
      </c>
      <c r="J21" s="206">
        <v>2.5388063637365121E-2</v>
      </c>
      <c r="K21" s="149">
        <v>35</v>
      </c>
      <c r="L21" s="115">
        <v>5.0255103214567178</v>
      </c>
      <c r="M21" s="150">
        <v>2.887958752535269E-2</v>
      </c>
      <c r="N21" s="149">
        <v>35</v>
      </c>
      <c r="O21" s="115">
        <v>4.3408061541861214</v>
      </c>
      <c r="P21" s="150">
        <v>4.5095185199897969E-2</v>
      </c>
      <c r="Q21" s="149" t="s">
        <v>31</v>
      </c>
      <c r="R21" s="114" t="s">
        <v>31</v>
      </c>
      <c r="S21" s="151" t="s">
        <v>31</v>
      </c>
      <c r="T21" s="149" t="s">
        <v>31</v>
      </c>
      <c r="U21" s="114" t="s">
        <v>31</v>
      </c>
      <c r="V21" s="151" t="s">
        <v>31</v>
      </c>
    </row>
    <row r="22" spans="1:22" ht="15.75" thickBot="1">
      <c r="A22" s="223"/>
      <c r="B22" s="179" t="s">
        <v>31</v>
      </c>
      <c r="C22" s="144" t="s">
        <v>31</v>
      </c>
      <c r="D22" s="180" t="s">
        <v>31</v>
      </c>
      <c r="E22" s="179" t="s">
        <v>31</v>
      </c>
      <c r="F22" s="144" t="s">
        <v>31</v>
      </c>
      <c r="G22" s="180" t="s">
        <v>31</v>
      </c>
      <c r="H22" s="179"/>
      <c r="I22" s="144"/>
      <c r="J22" s="180"/>
      <c r="K22" s="179">
        <v>47</v>
      </c>
      <c r="L22" s="181">
        <v>5.0594240734837292</v>
      </c>
      <c r="M22" s="182">
        <v>2.6731825350452709E-2</v>
      </c>
      <c r="N22" s="179" t="s">
        <v>31</v>
      </c>
      <c r="O22" s="144" t="s">
        <v>31</v>
      </c>
      <c r="P22" s="180" t="s">
        <v>31</v>
      </c>
      <c r="Q22" s="179" t="s">
        <v>31</v>
      </c>
      <c r="R22" s="144" t="s">
        <v>31</v>
      </c>
      <c r="S22" s="180" t="s">
        <v>31</v>
      </c>
      <c r="T22" s="179" t="s">
        <v>31</v>
      </c>
      <c r="U22" s="144" t="s">
        <v>31</v>
      </c>
      <c r="V22" s="180" t="s">
        <v>31</v>
      </c>
    </row>
    <row r="23" spans="1:22" ht="15.75" thickBot="1">
      <c r="A23" s="224"/>
      <c r="B23" s="183" t="s">
        <v>22</v>
      </c>
      <c r="C23" s="184">
        <f>AVERAGE(C19:C21)</f>
        <v>5.1364475104746807</v>
      </c>
      <c r="D23" s="185"/>
      <c r="E23" s="183" t="s">
        <v>22</v>
      </c>
      <c r="F23" s="184">
        <f>AVERAGE(F19:F21)</f>
        <v>4.2371730973333328</v>
      </c>
      <c r="G23" s="185"/>
      <c r="H23" s="183" t="s">
        <v>22</v>
      </c>
      <c r="I23" s="184">
        <f>AVERAGE(I19:I22)</f>
        <v>6.2442954362310026</v>
      </c>
      <c r="J23" s="185"/>
      <c r="K23" s="183" t="s">
        <v>22</v>
      </c>
      <c r="L23" s="184">
        <f>AVERAGE(L19:L22)</f>
        <v>4.9417631991616418</v>
      </c>
      <c r="M23" s="185"/>
      <c r="N23" s="183" t="s">
        <v>22</v>
      </c>
      <c r="O23" s="184">
        <f>AVERAGE(O19:O21)</f>
        <v>4.3082290238564296</v>
      </c>
      <c r="P23" s="185"/>
      <c r="Q23" s="183" t="s">
        <v>22</v>
      </c>
      <c r="R23" s="184">
        <f>AVERAGE(R19:R20)</f>
        <v>3.985106349</v>
      </c>
      <c r="S23" s="185"/>
      <c r="T23" s="183" t="s">
        <v>22</v>
      </c>
      <c r="U23" s="184">
        <f>AVERAGE(U19:U20)</f>
        <v>4.8680917429999999</v>
      </c>
      <c r="V23" s="185"/>
    </row>
  </sheetData>
  <mergeCells count="11">
    <mergeCell ref="T3:V3"/>
    <mergeCell ref="A19:A23"/>
    <mergeCell ref="E3:G3"/>
    <mergeCell ref="K3:M3"/>
    <mergeCell ref="B3:D3"/>
    <mergeCell ref="H3:J3"/>
    <mergeCell ref="A5:A9"/>
    <mergeCell ref="A10:A14"/>
    <mergeCell ref="A15:A18"/>
    <mergeCell ref="N3:P3"/>
    <mergeCell ref="Q3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A7BE-6FF8-416C-9F7E-C1F4D547429A}">
  <dimension ref="C1:BF110"/>
  <sheetViews>
    <sheetView topLeftCell="C96" zoomScale="70" zoomScaleNormal="70" workbookViewId="0">
      <selection activeCell="AS109" sqref="AS109"/>
    </sheetView>
    <sheetView tabSelected="1" topLeftCell="U46" zoomScale="55" zoomScaleNormal="55" workbookViewId="1">
      <selection activeCell="BI62" sqref="BI62"/>
    </sheetView>
  </sheetViews>
  <sheetFormatPr defaultColWidth="6.7109375" defaultRowHeight="45" customHeight="1"/>
  <cols>
    <col min="1" max="41" width="6.7109375" style="43"/>
    <col min="42" max="42" width="8.140625" style="43" bestFit="1" customWidth="1"/>
    <col min="43" max="44" width="6.7109375" style="43"/>
    <col min="45" max="45" width="10.5703125" style="43" customWidth="1"/>
    <col min="46" max="16384" width="6.7109375" style="43"/>
  </cols>
  <sheetData>
    <row r="1" spans="3:58" ht="45" customHeight="1">
      <c r="C1" s="139" t="s">
        <v>32</v>
      </c>
      <c r="AA1" s="139" t="s">
        <v>32</v>
      </c>
    </row>
    <row r="2" spans="3:58" ht="45" customHeight="1">
      <c r="F2" s="48">
        <v>0</v>
      </c>
      <c r="G2" s="48">
        <v>1</v>
      </c>
      <c r="H2" s="48">
        <v>2</v>
      </c>
      <c r="I2" s="48">
        <v>3</v>
      </c>
      <c r="J2" s="48">
        <v>4</v>
      </c>
      <c r="K2" s="48">
        <v>5</v>
      </c>
      <c r="L2" s="48">
        <v>6</v>
      </c>
      <c r="M2" s="48">
        <v>7</v>
      </c>
      <c r="N2" s="48">
        <v>8</v>
      </c>
      <c r="O2" s="48">
        <v>9</v>
      </c>
      <c r="P2" s="48">
        <v>10</v>
      </c>
      <c r="Q2" s="48">
        <v>11</v>
      </c>
      <c r="R2" s="48">
        <v>12</v>
      </c>
      <c r="S2" s="48">
        <v>13</v>
      </c>
      <c r="T2" s="48">
        <v>14</v>
      </c>
      <c r="AD2" s="48">
        <v>0</v>
      </c>
      <c r="AE2" s="48">
        <v>1</v>
      </c>
      <c r="AF2" s="48">
        <v>2</v>
      </c>
      <c r="AG2" s="48">
        <v>3</v>
      </c>
      <c r="AH2" s="48">
        <v>4</v>
      </c>
      <c r="AI2" s="48">
        <v>5</v>
      </c>
      <c r="AJ2" s="48">
        <v>6</v>
      </c>
      <c r="AK2" s="48">
        <v>7</v>
      </c>
      <c r="AL2" s="48">
        <v>8</v>
      </c>
      <c r="AM2" s="48">
        <v>9</v>
      </c>
      <c r="AN2" s="48">
        <v>10</v>
      </c>
      <c r="AO2" s="48">
        <v>11</v>
      </c>
      <c r="AP2" s="48">
        <v>12</v>
      </c>
      <c r="AQ2" s="48">
        <v>13</v>
      </c>
      <c r="AR2" s="48">
        <v>14</v>
      </c>
    </row>
    <row r="3" spans="3:58" ht="45" customHeight="1">
      <c r="F3" s="48">
        <v>-7</v>
      </c>
      <c r="G3" s="48">
        <v>-6</v>
      </c>
      <c r="H3" s="48">
        <v>-5</v>
      </c>
      <c r="I3" s="48">
        <v>-4</v>
      </c>
      <c r="J3" s="48">
        <v>-3</v>
      </c>
      <c r="K3" s="48">
        <v>-2</v>
      </c>
      <c r="L3" s="48">
        <v>-1</v>
      </c>
      <c r="M3" s="48">
        <v>0</v>
      </c>
      <c r="N3" s="48">
        <v>1</v>
      </c>
      <c r="O3" s="48">
        <v>2</v>
      </c>
      <c r="P3" s="48">
        <v>3</v>
      </c>
      <c r="Q3" s="48">
        <v>4</v>
      </c>
      <c r="R3" s="48">
        <v>5</v>
      </c>
      <c r="S3" s="48">
        <v>6</v>
      </c>
      <c r="T3" s="48">
        <v>7</v>
      </c>
      <c r="AD3" s="48">
        <v>-7</v>
      </c>
      <c r="AE3" s="48">
        <v>-6</v>
      </c>
      <c r="AF3" s="48">
        <v>-5</v>
      </c>
      <c r="AG3" s="48">
        <v>-4</v>
      </c>
      <c r="AH3" s="48">
        <v>-3</v>
      </c>
      <c r="AI3" s="48">
        <v>-2</v>
      </c>
      <c r="AJ3" s="48">
        <v>-1</v>
      </c>
      <c r="AK3" s="48">
        <v>0</v>
      </c>
      <c r="AL3" s="48">
        <v>1</v>
      </c>
      <c r="AM3" s="48">
        <v>2</v>
      </c>
      <c r="AN3" s="48">
        <v>3</v>
      </c>
      <c r="AO3" s="48">
        <v>4</v>
      </c>
      <c r="AP3" s="48">
        <v>5</v>
      </c>
      <c r="AQ3" s="48">
        <v>6</v>
      </c>
      <c r="AR3" s="48">
        <v>7</v>
      </c>
    </row>
    <row r="4" spans="3:58" ht="45" customHeight="1">
      <c r="D4" s="48">
        <v>10</v>
      </c>
      <c r="E4" s="120">
        <v>5</v>
      </c>
      <c r="AB4" s="48">
        <v>10</v>
      </c>
      <c r="AC4" s="120">
        <v>5</v>
      </c>
    </row>
    <row r="5" spans="3:58" ht="45" customHeight="1">
      <c r="D5" s="48">
        <v>9</v>
      </c>
      <c r="E5" s="120">
        <v>4</v>
      </c>
      <c r="G5" s="58"/>
      <c r="H5" s="58"/>
      <c r="I5" s="58"/>
      <c r="J5" s="85"/>
      <c r="K5" s="85"/>
      <c r="L5" s="85">
        <v>1</v>
      </c>
      <c r="M5" s="86">
        <v>2</v>
      </c>
      <c r="N5" s="86">
        <v>3</v>
      </c>
      <c r="O5" s="86">
        <v>4</v>
      </c>
      <c r="P5" s="86"/>
      <c r="Q5" s="58"/>
      <c r="R5" s="58"/>
      <c r="S5" s="58"/>
      <c r="AB5" s="48">
        <v>9</v>
      </c>
      <c r="AC5" s="120">
        <v>4</v>
      </c>
      <c r="AE5" s="70"/>
      <c r="AF5" s="70"/>
      <c r="AG5" s="70"/>
      <c r="AH5" s="127"/>
      <c r="AI5" s="127"/>
      <c r="AJ5" s="127"/>
      <c r="AK5" s="128"/>
      <c r="AL5" s="128"/>
      <c r="AM5" s="128"/>
      <c r="AN5" s="128"/>
      <c r="AO5" s="70"/>
      <c r="AP5" s="70"/>
      <c r="AQ5" s="70"/>
    </row>
    <row r="6" spans="3:58" ht="45" customHeight="1">
      <c r="D6" s="48">
        <v>8</v>
      </c>
      <c r="E6" s="120">
        <v>3</v>
      </c>
      <c r="G6" s="58"/>
      <c r="H6" s="85"/>
      <c r="I6" s="85"/>
      <c r="J6" s="123">
        <v>8</v>
      </c>
      <c r="K6" s="85">
        <v>9</v>
      </c>
      <c r="L6" s="85">
        <v>10</v>
      </c>
      <c r="M6" s="86">
        <v>11</v>
      </c>
      <c r="N6" s="124">
        <v>12</v>
      </c>
      <c r="O6" s="86">
        <v>13</v>
      </c>
      <c r="P6" s="86">
        <v>14</v>
      </c>
      <c r="Q6" s="86">
        <v>15</v>
      </c>
      <c r="R6" s="124">
        <v>16</v>
      </c>
      <c r="AB6" s="48">
        <v>8</v>
      </c>
      <c r="AC6" s="120">
        <v>3</v>
      </c>
      <c r="AE6" s="70"/>
      <c r="AF6" s="127"/>
      <c r="AG6" s="127"/>
      <c r="AH6" s="134">
        <f>'Slot 5  - dose'!C37</f>
        <v>5.3469286060422005</v>
      </c>
      <c r="AI6" s="127"/>
      <c r="AJ6" s="134"/>
      <c r="AK6" s="128"/>
      <c r="AL6" s="135">
        <f>'Slot 5  - dose'!C23</f>
        <v>8.6189027012636554</v>
      </c>
      <c r="AM6" s="128"/>
      <c r="AN6" s="128"/>
      <c r="AO6" s="128"/>
      <c r="AP6" s="135">
        <f>'Slot 5  - dose'!C24</f>
        <v>8.1633818582284032</v>
      </c>
      <c r="AQ6" s="133"/>
    </row>
    <row r="7" spans="3:58" ht="45" customHeight="1">
      <c r="D7" s="48">
        <v>7</v>
      </c>
      <c r="E7" s="120">
        <v>2</v>
      </c>
      <c r="G7" s="85"/>
      <c r="H7" s="85"/>
      <c r="I7" s="85">
        <v>19</v>
      </c>
      <c r="J7" s="85">
        <v>20</v>
      </c>
      <c r="K7" s="85">
        <v>21</v>
      </c>
      <c r="L7" s="85">
        <v>22</v>
      </c>
      <c r="M7" s="86">
        <v>23</v>
      </c>
      <c r="N7" s="86">
        <v>24</v>
      </c>
      <c r="O7" s="86">
        <v>25</v>
      </c>
      <c r="P7" s="86">
        <v>26</v>
      </c>
      <c r="Q7" s="86">
        <v>27</v>
      </c>
      <c r="R7" s="86">
        <v>28</v>
      </c>
      <c r="S7" s="86"/>
      <c r="W7" s="86"/>
      <c r="X7" s="58" t="s">
        <v>33</v>
      </c>
      <c r="AB7" s="48">
        <v>7</v>
      </c>
      <c r="AC7" s="120">
        <v>2</v>
      </c>
      <c r="AE7" s="127"/>
      <c r="AF7" s="127"/>
      <c r="AG7" s="127"/>
      <c r="AH7" s="127"/>
      <c r="AI7" s="127"/>
      <c r="AJ7" s="127"/>
      <c r="AK7" s="128"/>
      <c r="AL7" s="135"/>
      <c r="AM7" s="128"/>
      <c r="AN7" s="128"/>
      <c r="AO7" s="128"/>
      <c r="AP7" s="128"/>
      <c r="AQ7" s="128"/>
      <c r="AU7" s="86"/>
      <c r="AV7" s="58" t="s">
        <v>33</v>
      </c>
    </row>
    <row r="8" spans="3:58" ht="45" customHeight="1">
      <c r="D8" s="48">
        <v>6</v>
      </c>
      <c r="E8" s="120">
        <v>1</v>
      </c>
      <c r="G8" s="85"/>
      <c r="H8" s="85"/>
      <c r="I8" s="85">
        <v>32</v>
      </c>
      <c r="J8" s="123">
        <v>33</v>
      </c>
      <c r="K8" s="85">
        <v>34</v>
      </c>
      <c r="L8" s="123">
        <v>35</v>
      </c>
      <c r="M8" s="86">
        <v>36</v>
      </c>
      <c r="N8" s="124">
        <v>37</v>
      </c>
      <c r="O8" s="86">
        <v>38</v>
      </c>
      <c r="P8" s="86">
        <v>39</v>
      </c>
      <c r="Q8" s="86">
        <v>40</v>
      </c>
      <c r="R8" s="124">
        <v>41</v>
      </c>
      <c r="S8" s="86"/>
      <c r="W8" s="98"/>
      <c r="X8" s="58" t="s">
        <v>34</v>
      </c>
      <c r="AB8" s="48">
        <v>6</v>
      </c>
      <c r="AC8" s="120">
        <v>1</v>
      </c>
      <c r="AE8" s="127"/>
      <c r="AF8" s="127"/>
      <c r="AG8" s="127"/>
      <c r="AH8" s="134">
        <f>'Slot 5  - dose'!C38</f>
        <v>4.795825021543429</v>
      </c>
      <c r="AI8" s="127"/>
      <c r="AJ8" s="134">
        <f>'Slot 5  - dose'!C39</f>
        <v>5.2665889038384117</v>
      </c>
      <c r="AK8" s="128"/>
      <c r="AL8" s="135">
        <f>'Slot 5  - dose'!C25</f>
        <v>8.4013352113930537</v>
      </c>
      <c r="AM8" s="128"/>
      <c r="AN8" s="135"/>
      <c r="AO8" s="128"/>
      <c r="AP8" s="135">
        <f>'Slot 5  - dose'!C26</f>
        <v>8.0028449702498623</v>
      </c>
      <c r="AQ8" s="128"/>
      <c r="AU8" s="98"/>
      <c r="AV8" s="58" t="s">
        <v>34</v>
      </c>
    </row>
    <row r="9" spans="3:58" ht="45" customHeight="1">
      <c r="D9" s="48">
        <v>5</v>
      </c>
      <c r="E9" s="120">
        <v>0</v>
      </c>
      <c r="G9" s="85"/>
      <c r="H9" s="85"/>
      <c r="I9" s="85">
        <v>45</v>
      </c>
      <c r="J9" s="85">
        <v>46</v>
      </c>
      <c r="K9" s="85">
        <v>47</v>
      </c>
      <c r="L9" s="85">
        <v>48</v>
      </c>
      <c r="M9" s="121">
        <v>49</v>
      </c>
      <c r="N9" s="98">
        <v>50</v>
      </c>
      <c r="O9" s="98">
        <v>51</v>
      </c>
      <c r="P9" s="98">
        <v>52</v>
      </c>
      <c r="Q9" s="98">
        <v>53</v>
      </c>
      <c r="R9" s="98">
        <v>54</v>
      </c>
      <c r="S9" s="98"/>
      <c r="W9" s="99"/>
      <c r="X9" s="58" t="s">
        <v>35</v>
      </c>
      <c r="AB9" s="48">
        <v>5</v>
      </c>
      <c r="AC9" s="120">
        <v>0</v>
      </c>
      <c r="AE9" s="127"/>
      <c r="AF9" s="127"/>
      <c r="AG9" s="134"/>
      <c r="AH9" s="127"/>
      <c r="AI9" s="127"/>
      <c r="AJ9" s="134"/>
      <c r="AK9" s="129"/>
      <c r="AL9" s="130"/>
      <c r="AM9" s="136"/>
      <c r="AN9" s="130"/>
      <c r="AO9" s="130"/>
      <c r="AP9" s="136"/>
      <c r="AQ9" s="130"/>
      <c r="AU9" s="99"/>
      <c r="AV9" s="58" t="s">
        <v>35</v>
      </c>
    </row>
    <row r="10" spans="3:58" ht="45" customHeight="1">
      <c r="D10" s="48">
        <v>4</v>
      </c>
      <c r="E10" s="120">
        <v>-1</v>
      </c>
      <c r="G10" s="99"/>
      <c r="H10" s="99"/>
      <c r="I10" s="99">
        <v>58</v>
      </c>
      <c r="J10" s="125">
        <v>59</v>
      </c>
      <c r="K10" s="99">
        <v>60</v>
      </c>
      <c r="L10" s="125">
        <v>61</v>
      </c>
      <c r="M10" s="99">
        <v>62</v>
      </c>
      <c r="N10" s="126">
        <v>63</v>
      </c>
      <c r="O10" s="98">
        <v>64</v>
      </c>
      <c r="P10" s="126">
        <v>65</v>
      </c>
      <c r="Q10" s="98">
        <v>66</v>
      </c>
      <c r="R10" s="126">
        <v>67</v>
      </c>
      <c r="S10" s="98"/>
      <c r="W10" s="85"/>
      <c r="X10" s="58" t="s">
        <v>36</v>
      </c>
      <c r="AB10" s="48">
        <v>4</v>
      </c>
      <c r="AC10" s="120">
        <v>-1</v>
      </c>
      <c r="AE10" s="131"/>
      <c r="AF10" s="131"/>
      <c r="AG10" s="131"/>
      <c r="AH10" s="137">
        <f>'Slot 5  - dose'!C33</f>
        <v>5.7121413431431289</v>
      </c>
      <c r="AI10" s="131"/>
      <c r="AJ10" s="137">
        <f>'Slot 5  - dose'!C34</f>
        <v>5.7012176993770183</v>
      </c>
      <c r="AK10" s="131"/>
      <c r="AL10" s="136">
        <f>'Slot 5  - dose'!C28</f>
        <v>6.7016684972078</v>
      </c>
      <c r="AM10" s="130"/>
      <c r="AN10" s="130"/>
      <c r="AO10" s="130"/>
      <c r="AP10" s="136">
        <f>'Slot 5  - dose'!C29</f>
        <v>6.6207461955105984</v>
      </c>
      <c r="AQ10" s="130"/>
      <c r="AU10" s="85"/>
      <c r="AV10" s="58" t="s">
        <v>36</v>
      </c>
    </row>
    <row r="11" spans="3:58" ht="45" customHeight="1">
      <c r="D11" s="48">
        <v>3</v>
      </c>
      <c r="E11" s="120">
        <v>-2</v>
      </c>
      <c r="G11" s="99"/>
      <c r="H11" s="99"/>
      <c r="I11" s="99">
        <v>71</v>
      </c>
      <c r="J11" s="99">
        <v>72</v>
      </c>
      <c r="K11" s="99">
        <v>73</v>
      </c>
      <c r="L11" s="99">
        <v>74</v>
      </c>
      <c r="M11" s="99">
        <v>75</v>
      </c>
      <c r="N11" s="98">
        <v>76</v>
      </c>
      <c r="O11" s="98">
        <v>77</v>
      </c>
      <c r="P11" s="98">
        <v>78</v>
      </c>
      <c r="Q11" s="98">
        <v>79</v>
      </c>
      <c r="R11" s="98">
        <v>80</v>
      </c>
      <c r="S11" s="98"/>
      <c r="W11" s="122"/>
      <c r="X11" s="119" t="s">
        <v>37</v>
      </c>
      <c r="AB11" s="48">
        <v>3</v>
      </c>
      <c r="AC11" s="120">
        <v>-2</v>
      </c>
      <c r="AE11" s="131"/>
      <c r="AF11" s="131"/>
      <c r="AG11" s="131"/>
      <c r="AH11" s="137"/>
      <c r="AI11" s="131"/>
      <c r="AJ11" s="131"/>
      <c r="AK11" s="131"/>
      <c r="AL11" s="130"/>
      <c r="AM11" s="130"/>
      <c r="AN11" s="136"/>
      <c r="AO11" s="130"/>
      <c r="AP11" s="130"/>
      <c r="AQ11" s="130"/>
      <c r="AU11" s="122"/>
      <c r="AV11" s="119" t="s">
        <v>37</v>
      </c>
    </row>
    <row r="12" spans="3:58" ht="45" customHeight="1">
      <c r="D12" s="48">
        <v>2</v>
      </c>
      <c r="E12" s="120">
        <v>-3</v>
      </c>
      <c r="G12" s="58"/>
      <c r="H12" s="99"/>
      <c r="I12" s="99"/>
      <c r="J12" s="125">
        <v>84</v>
      </c>
      <c r="K12" s="99">
        <v>85</v>
      </c>
      <c r="L12" s="99">
        <v>86</v>
      </c>
      <c r="M12" s="99">
        <v>87</v>
      </c>
      <c r="N12" s="126">
        <v>88</v>
      </c>
      <c r="O12" s="98">
        <v>89</v>
      </c>
      <c r="P12" s="98">
        <v>90</v>
      </c>
      <c r="Q12" s="98">
        <v>91</v>
      </c>
      <c r="R12" s="126">
        <v>92</v>
      </c>
      <c r="W12" s="138" t="s">
        <v>38</v>
      </c>
      <c r="X12" s="119" t="s">
        <v>39</v>
      </c>
      <c r="AB12" s="48">
        <v>2</v>
      </c>
      <c r="AC12" s="120">
        <v>-3</v>
      </c>
      <c r="AE12" s="70"/>
      <c r="AF12" s="131"/>
      <c r="AG12" s="131"/>
      <c r="AH12" s="137">
        <f>'Slot 5  - dose'!C35</f>
        <v>5.5739141311532645</v>
      </c>
      <c r="AI12" s="131"/>
      <c r="AJ12" s="131"/>
      <c r="AK12" s="131"/>
      <c r="AL12" s="136">
        <f>'Slot 5  - dose'!C30</f>
        <v>6.4793117777238516</v>
      </c>
      <c r="AM12" s="130"/>
      <c r="AN12" s="130"/>
      <c r="AO12" s="130"/>
      <c r="AP12" s="136">
        <f>'Slot 5  - dose'!C31</f>
        <v>8.6975148253180414</v>
      </c>
      <c r="AQ12" s="133"/>
    </row>
    <row r="13" spans="3:58" ht="45" customHeight="1">
      <c r="D13" s="48">
        <v>1</v>
      </c>
      <c r="E13" s="120">
        <v>-4</v>
      </c>
      <c r="G13" s="58"/>
      <c r="H13" s="58"/>
      <c r="I13" s="58"/>
      <c r="J13" s="99"/>
      <c r="K13" s="99"/>
      <c r="L13" s="99">
        <v>95</v>
      </c>
      <c r="M13" s="99">
        <v>96</v>
      </c>
      <c r="N13" s="98">
        <v>97</v>
      </c>
      <c r="O13" s="98">
        <v>98</v>
      </c>
      <c r="P13" s="98"/>
      <c r="Q13" s="58"/>
      <c r="R13" s="58"/>
      <c r="S13" s="58"/>
      <c r="AB13" s="48">
        <v>1</v>
      </c>
      <c r="AC13" s="120">
        <v>-4</v>
      </c>
      <c r="AE13" s="70"/>
      <c r="AF13" s="70"/>
      <c r="AG13" s="70"/>
      <c r="AH13" s="131"/>
      <c r="AI13" s="131"/>
      <c r="AJ13" s="131"/>
      <c r="AK13" s="131"/>
      <c r="AL13" s="130"/>
      <c r="AM13" s="130"/>
      <c r="AN13" s="130"/>
      <c r="AO13" s="70"/>
      <c r="AP13" s="70"/>
      <c r="AQ13" s="70"/>
      <c r="BF13" s="48"/>
    </row>
    <row r="14" spans="3:58" ht="45" customHeight="1">
      <c r="D14" s="48">
        <v>0</v>
      </c>
      <c r="E14" s="120">
        <v>-5</v>
      </c>
      <c r="AB14" s="48">
        <v>0</v>
      </c>
      <c r="AC14" s="120">
        <v>-5</v>
      </c>
      <c r="BF14" s="48"/>
    </row>
    <row r="17" spans="3:48" ht="45" customHeight="1">
      <c r="C17" s="118" t="s">
        <v>40</v>
      </c>
      <c r="AA17" s="139" t="s">
        <v>40</v>
      </c>
    </row>
    <row r="18" spans="3:48" ht="45" customHeight="1">
      <c r="F18" s="48">
        <v>0</v>
      </c>
      <c r="G18" s="48">
        <v>1</v>
      </c>
      <c r="H18" s="48">
        <v>2</v>
      </c>
      <c r="I18" s="48">
        <v>3</v>
      </c>
      <c r="J18" s="48">
        <v>4</v>
      </c>
      <c r="K18" s="48">
        <v>5</v>
      </c>
      <c r="L18" s="48">
        <v>6</v>
      </c>
      <c r="M18" s="48">
        <v>7</v>
      </c>
      <c r="N18" s="48">
        <v>8</v>
      </c>
      <c r="O18" s="48">
        <v>9</v>
      </c>
      <c r="P18" s="48">
        <v>10</v>
      </c>
      <c r="Q18" s="48">
        <v>11</v>
      </c>
      <c r="R18" s="48">
        <v>12</v>
      </c>
      <c r="S18" s="48">
        <v>13</v>
      </c>
      <c r="T18" s="48">
        <v>14</v>
      </c>
      <c r="AD18" s="48">
        <v>0</v>
      </c>
      <c r="AE18" s="48">
        <v>1</v>
      </c>
      <c r="AF18" s="48">
        <v>2</v>
      </c>
      <c r="AG18" s="48">
        <v>3</v>
      </c>
      <c r="AH18" s="48">
        <v>4</v>
      </c>
      <c r="AI18" s="48">
        <v>5</v>
      </c>
      <c r="AJ18" s="48">
        <v>6</v>
      </c>
      <c r="AK18" s="48">
        <v>7</v>
      </c>
      <c r="AL18" s="48">
        <v>8</v>
      </c>
      <c r="AM18" s="48">
        <v>9</v>
      </c>
      <c r="AN18" s="48">
        <v>10</v>
      </c>
      <c r="AO18" s="48">
        <v>11</v>
      </c>
      <c r="AP18" s="48">
        <v>12</v>
      </c>
      <c r="AQ18" s="48">
        <v>13</v>
      </c>
      <c r="AR18" s="48">
        <v>14</v>
      </c>
    </row>
    <row r="19" spans="3:48" ht="45" customHeight="1">
      <c r="F19" s="48">
        <v>-7</v>
      </c>
      <c r="G19" s="48">
        <v>-6</v>
      </c>
      <c r="H19" s="48">
        <v>-5</v>
      </c>
      <c r="I19" s="48">
        <v>-4</v>
      </c>
      <c r="J19" s="48">
        <v>-3</v>
      </c>
      <c r="K19" s="48">
        <v>-2</v>
      </c>
      <c r="L19" s="48">
        <v>-1</v>
      </c>
      <c r="M19" s="48">
        <v>0</v>
      </c>
      <c r="N19" s="48">
        <v>1</v>
      </c>
      <c r="O19" s="48">
        <v>2</v>
      </c>
      <c r="P19" s="48">
        <v>3</v>
      </c>
      <c r="Q19" s="48">
        <v>4</v>
      </c>
      <c r="R19" s="48">
        <v>5</v>
      </c>
      <c r="S19" s="48">
        <v>6</v>
      </c>
      <c r="T19" s="48">
        <v>7</v>
      </c>
      <c r="AD19" s="48">
        <v>-7</v>
      </c>
      <c r="AE19" s="48">
        <v>-6</v>
      </c>
      <c r="AF19" s="48">
        <v>-5</v>
      </c>
      <c r="AG19" s="48">
        <v>-4</v>
      </c>
      <c r="AH19" s="48">
        <v>-3</v>
      </c>
      <c r="AI19" s="48">
        <v>-2</v>
      </c>
      <c r="AJ19" s="48">
        <v>-1</v>
      </c>
      <c r="AK19" s="48">
        <v>0</v>
      </c>
      <c r="AL19" s="48">
        <v>1</v>
      </c>
      <c r="AM19" s="48">
        <v>2</v>
      </c>
      <c r="AN19" s="48">
        <v>3</v>
      </c>
      <c r="AO19" s="48">
        <v>4</v>
      </c>
      <c r="AP19" s="48">
        <v>5</v>
      </c>
      <c r="AQ19" s="48">
        <v>6</v>
      </c>
      <c r="AR19" s="48">
        <v>7</v>
      </c>
    </row>
    <row r="20" spans="3:48" ht="45" customHeight="1">
      <c r="D20" s="48">
        <v>10</v>
      </c>
      <c r="E20" s="120">
        <v>5</v>
      </c>
      <c r="AB20" s="48">
        <v>10</v>
      </c>
      <c r="AC20" s="120">
        <v>5</v>
      </c>
    </row>
    <row r="21" spans="3:48" ht="45" customHeight="1">
      <c r="D21" s="48">
        <v>9</v>
      </c>
      <c r="E21" s="120">
        <v>4</v>
      </c>
      <c r="G21" s="58"/>
      <c r="H21" s="58"/>
      <c r="I21" s="58"/>
      <c r="J21" s="85"/>
      <c r="K21" s="85"/>
      <c r="L21" s="85">
        <v>1</v>
      </c>
      <c r="M21" s="86">
        <v>2</v>
      </c>
      <c r="N21" s="86">
        <v>3</v>
      </c>
      <c r="O21" s="86">
        <v>4</v>
      </c>
      <c r="P21" s="86"/>
      <c r="Q21" s="58"/>
      <c r="R21" s="58"/>
      <c r="S21" s="58"/>
      <c r="AB21" s="48">
        <v>9</v>
      </c>
      <c r="AC21" s="120">
        <v>4</v>
      </c>
      <c r="AE21" s="70"/>
      <c r="AF21" s="70"/>
      <c r="AG21" s="70"/>
      <c r="AH21" s="127"/>
      <c r="AI21" s="127"/>
      <c r="AJ21" s="127"/>
      <c r="AK21" s="128"/>
      <c r="AL21" s="128"/>
      <c r="AM21" s="128"/>
      <c r="AN21" s="128"/>
      <c r="AO21" s="70"/>
      <c r="AP21" s="70"/>
      <c r="AQ21" s="70"/>
    </row>
    <row r="22" spans="3:48" ht="45" customHeight="1">
      <c r="D22" s="48">
        <v>8</v>
      </c>
      <c r="E22" s="120">
        <v>3</v>
      </c>
      <c r="G22" s="58"/>
      <c r="H22" s="85"/>
      <c r="I22" s="85"/>
      <c r="J22" s="123">
        <v>8</v>
      </c>
      <c r="K22" s="85">
        <v>9</v>
      </c>
      <c r="L22" s="85">
        <v>10</v>
      </c>
      <c r="M22" s="86">
        <v>11</v>
      </c>
      <c r="N22" s="124">
        <v>12</v>
      </c>
      <c r="O22" s="86">
        <v>13</v>
      </c>
      <c r="P22" s="86">
        <v>14</v>
      </c>
      <c r="Q22" s="86">
        <v>15</v>
      </c>
      <c r="R22" s="124">
        <v>16</v>
      </c>
      <c r="AB22" s="48">
        <v>8</v>
      </c>
      <c r="AC22" s="120">
        <v>3</v>
      </c>
      <c r="AE22" s="70"/>
      <c r="AF22" s="127"/>
      <c r="AG22" s="127"/>
      <c r="AH22" s="134">
        <f>'Slot 7 - dose'!C35</f>
        <v>3.8016985390000002</v>
      </c>
      <c r="AI22" s="127"/>
      <c r="AJ22" s="134"/>
      <c r="AK22" s="128"/>
      <c r="AL22" s="135">
        <f>'Slot 7 - dose'!C23</f>
        <v>4.5594943580000002</v>
      </c>
      <c r="AM22" s="128"/>
      <c r="AN22" s="128"/>
      <c r="AO22" s="128"/>
      <c r="AP22" s="135">
        <f>'Slot 7 - dose'!C24</f>
        <v>4.5676044988506277</v>
      </c>
      <c r="AQ22" s="133"/>
    </row>
    <row r="23" spans="3:48" ht="45" customHeight="1">
      <c r="D23" s="48">
        <v>7</v>
      </c>
      <c r="E23" s="120">
        <v>2</v>
      </c>
      <c r="G23" s="85"/>
      <c r="H23" s="85"/>
      <c r="I23" s="85">
        <v>19</v>
      </c>
      <c r="J23" s="85">
        <v>20</v>
      </c>
      <c r="K23" s="85">
        <v>21</v>
      </c>
      <c r="L23" s="85">
        <v>22</v>
      </c>
      <c r="M23" s="86">
        <v>23</v>
      </c>
      <c r="N23" s="86">
        <v>24</v>
      </c>
      <c r="O23" s="86">
        <v>25</v>
      </c>
      <c r="P23" s="86">
        <v>26</v>
      </c>
      <c r="Q23" s="86">
        <v>27</v>
      </c>
      <c r="R23" s="86">
        <v>28</v>
      </c>
      <c r="S23" s="86"/>
      <c r="W23" s="86"/>
      <c r="X23" s="58" t="s">
        <v>33</v>
      </c>
      <c r="AB23" s="48">
        <v>7</v>
      </c>
      <c r="AC23" s="120">
        <v>2</v>
      </c>
      <c r="AE23" s="127"/>
      <c r="AF23" s="127"/>
      <c r="AG23" s="127"/>
      <c r="AH23" s="127"/>
      <c r="AI23" s="127"/>
      <c r="AJ23" s="127"/>
      <c r="AK23" s="128"/>
      <c r="AL23" s="135"/>
      <c r="AM23" s="128"/>
      <c r="AN23" s="128"/>
      <c r="AO23" s="128"/>
      <c r="AP23" s="128"/>
      <c r="AQ23" s="128"/>
      <c r="AU23" s="86"/>
      <c r="AV23" s="58" t="s">
        <v>33</v>
      </c>
    </row>
    <row r="24" spans="3:48" ht="45" customHeight="1">
      <c r="D24" s="48">
        <v>6</v>
      </c>
      <c r="E24" s="120">
        <v>1</v>
      </c>
      <c r="G24" s="85"/>
      <c r="H24" s="85"/>
      <c r="I24" s="85">
        <v>32</v>
      </c>
      <c r="J24" s="123">
        <v>33</v>
      </c>
      <c r="K24" s="85">
        <v>34</v>
      </c>
      <c r="L24" s="123">
        <v>35</v>
      </c>
      <c r="M24" s="86">
        <v>36</v>
      </c>
      <c r="N24" s="124">
        <v>37</v>
      </c>
      <c r="O24" s="86">
        <v>38</v>
      </c>
      <c r="P24" s="86">
        <v>39</v>
      </c>
      <c r="Q24" s="86">
        <v>40</v>
      </c>
      <c r="R24" s="124">
        <v>41</v>
      </c>
      <c r="S24" s="86"/>
      <c r="W24" s="98"/>
      <c r="X24" s="58" t="s">
        <v>34</v>
      </c>
      <c r="AB24" s="48">
        <v>6</v>
      </c>
      <c r="AC24" s="120">
        <v>1</v>
      </c>
      <c r="AE24" s="127"/>
      <c r="AF24" s="127"/>
      <c r="AG24" s="127"/>
      <c r="AH24" s="134">
        <f>'Slot 7 - dose'!C36</f>
        <v>3.9804322679999999</v>
      </c>
      <c r="AI24" s="127"/>
      <c r="AJ24" s="134">
        <f>'Slot 7 - dose'!C37</f>
        <v>4.9293884849999996</v>
      </c>
      <c r="AK24" s="128"/>
      <c r="AL24" s="128"/>
      <c r="AM24" s="128"/>
      <c r="AN24" s="135"/>
      <c r="AO24" s="128"/>
      <c r="AP24" s="135">
        <f>'Slot 7 - dose'!C25</f>
        <v>4.7918199350000004</v>
      </c>
      <c r="AQ24" s="128"/>
      <c r="AU24" s="98"/>
      <c r="AV24" s="58" t="s">
        <v>34</v>
      </c>
    </row>
    <row r="25" spans="3:48" ht="45" customHeight="1">
      <c r="D25" s="48">
        <v>5</v>
      </c>
      <c r="E25" s="120">
        <v>0</v>
      </c>
      <c r="G25" s="85"/>
      <c r="H25" s="85"/>
      <c r="I25" s="85">
        <v>45</v>
      </c>
      <c r="J25" s="85">
        <v>46</v>
      </c>
      <c r="K25" s="85">
        <v>47</v>
      </c>
      <c r="L25" s="85">
        <v>48</v>
      </c>
      <c r="M25" s="121">
        <v>49</v>
      </c>
      <c r="N25" s="98">
        <v>50</v>
      </c>
      <c r="O25" s="98">
        <v>51</v>
      </c>
      <c r="P25" s="98">
        <v>52</v>
      </c>
      <c r="Q25" s="98">
        <v>53</v>
      </c>
      <c r="R25" s="98">
        <v>54</v>
      </c>
      <c r="S25" s="98"/>
      <c r="W25" s="99"/>
      <c r="X25" s="58" t="s">
        <v>35</v>
      </c>
      <c r="AB25" s="48">
        <v>5</v>
      </c>
      <c r="AC25" s="120">
        <v>0</v>
      </c>
      <c r="AE25" s="127"/>
      <c r="AF25" s="127"/>
      <c r="AG25" s="134"/>
      <c r="AH25" s="127"/>
      <c r="AI25" s="127"/>
      <c r="AJ25" s="134"/>
      <c r="AK25" s="129"/>
      <c r="AL25" s="130"/>
      <c r="AM25" s="136"/>
      <c r="AN25" s="130"/>
      <c r="AO25" s="130"/>
      <c r="AP25" s="136"/>
      <c r="AQ25" s="130"/>
      <c r="AU25" s="99"/>
      <c r="AV25" s="58" t="s">
        <v>35</v>
      </c>
    </row>
    <row r="26" spans="3:48" ht="45" customHeight="1">
      <c r="D26" s="48">
        <v>4</v>
      </c>
      <c r="E26" s="120">
        <v>-1</v>
      </c>
      <c r="G26" s="99"/>
      <c r="H26" s="99"/>
      <c r="I26" s="99">
        <v>58</v>
      </c>
      <c r="J26" s="125">
        <v>59</v>
      </c>
      <c r="K26" s="99">
        <v>60</v>
      </c>
      <c r="L26" s="99">
        <v>61</v>
      </c>
      <c r="M26" s="99">
        <v>62</v>
      </c>
      <c r="N26" s="126">
        <v>63</v>
      </c>
      <c r="O26" s="98">
        <v>64</v>
      </c>
      <c r="P26" s="126">
        <v>65</v>
      </c>
      <c r="Q26" s="98">
        <v>66</v>
      </c>
      <c r="R26" s="126">
        <v>67</v>
      </c>
      <c r="S26" s="98"/>
      <c r="W26" s="85"/>
      <c r="X26" s="58" t="s">
        <v>36</v>
      </c>
      <c r="AB26" s="48">
        <v>4</v>
      </c>
      <c r="AC26" s="120">
        <v>-1</v>
      </c>
      <c r="AE26" s="131"/>
      <c r="AF26" s="131"/>
      <c r="AG26" s="131"/>
      <c r="AH26" s="137">
        <f>'Slot 7 - dose'!C32</f>
        <v>4.6096069079999999</v>
      </c>
      <c r="AI26" s="131"/>
      <c r="AJ26" s="131"/>
      <c r="AK26" s="131"/>
      <c r="AL26" s="136">
        <f>'Slot 7 - dose'!C27</f>
        <v>5.40520160478109</v>
      </c>
      <c r="AM26" s="130"/>
      <c r="AN26" s="136">
        <f>'Slot 7 - dose'!C28</f>
        <v>4.6602054958804366</v>
      </c>
      <c r="AO26" s="130"/>
      <c r="AP26" s="130"/>
      <c r="AQ26" s="130"/>
      <c r="AU26" s="85"/>
      <c r="AV26" s="58" t="s">
        <v>36</v>
      </c>
    </row>
    <row r="27" spans="3:48" ht="45" customHeight="1">
      <c r="D27" s="48">
        <v>3</v>
      </c>
      <c r="E27" s="120">
        <v>-2</v>
      </c>
      <c r="G27" s="99"/>
      <c r="H27" s="99"/>
      <c r="I27" s="99">
        <v>71</v>
      </c>
      <c r="J27" s="99">
        <v>72</v>
      </c>
      <c r="K27" s="99">
        <v>73</v>
      </c>
      <c r="L27" s="99">
        <v>74</v>
      </c>
      <c r="M27" s="99">
        <v>75</v>
      </c>
      <c r="N27" s="98">
        <v>76</v>
      </c>
      <c r="O27" s="98">
        <v>77</v>
      </c>
      <c r="P27" s="98">
        <v>78</v>
      </c>
      <c r="Q27" s="98">
        <v>79</v>
      </c>
      <c r="R27" s="98">
        <v>80</v>
      </c>
      <c r="S27" s="98"/>
      <c r="W27" s="122"/>
      <c r="X27" s="119" t="s">
        <v>37</v>
      </c>
      <c r="AB27" s="48">
        <v>3</v>
      </c>
      <c r="AC27" s="120">
        <v>-2</v>
      </c>
      <c r="AE27" s="131"/>
      <c r="AF27" s="131"/>
      <c r="AG27" s="131"/>
      <c r="AH27" s="137"/>
      <c r="AI27" s="131"/>
      <c r="AJ27" s="131"/>
      <c r="AK27" s="131"/>
      <c r="AL27" s="130"/>
      <c r="AM27" s="130"/>
      <c r="AN27" s="136"/>
      <c r="AO27" s="130"/>
      <c r="AP27" s="130"/>
      <c r="AQ27" s="130"/>
      <c r="AU27" s="122"/>
      <c r="AV27" s="119" t="s">
        <v>37</v>
      </c>
    </row>
    <row r="28" spans="3:48" ht="45" customHeight="1">
      <c r="D28" s="48">
        <v>2</v>
      </c>
      <c r="E28" s="120">
        <v>-3</v>
      </c>
      <c r="G28" s="58"/>
      <c r="H28" s="99"/>
      <c r="I28" s="99"/>
      <c r="J28" s="125">
        <v>84</v>
      </c>
      <c r="K28" s="99">
        <v>85</v>
      </c>
      <c r="L28" s="99">
        <v>86</v>
      </c>
      <c r="M28" s="99">
        <v>87</v>
      </c>
      <c r="N28" s="126">
        <v>88</v>
      </c>
      <c r="O28" s="98">
        <v>89</v>
      </c>
      <c r="P28" s="98">
        <v>90</v>
      </c>
      <c r="Q28" s="98">
        <v>91</v>
      </c>
      <c r="R28" s="126">
        <v>92</v>
      </c>
      <c r="W28" s="138" t="s">
        <v>38</v>
      </c>
      <c r="X28" s="119" t="s">
        <v>39</v>
      </c>
      <c r="AB28" s="48">
        <v>2</v>
      </c>
      <c r="AC28" s="120">
        <v>-3</v>
      </c>
      <c r="AE28" s="70"/>
      <c r="AF28" s="131"/>
      <c r="AG28" s="131"/>
      <c r="AH28" s="131"/>
      <c r="AI28" s="131"/>
      <c r="AJ28" s="131"/>
      <c r="AK28" s="131"/>
      <c r="AL28" s="136">
        <f>'Slot 7 - dose'!C29</f>
        <v>4.050785952</v>
      </c>
      <c r="AM28" s="130"/>
      <c r="AN28" s="130"/>
      <c r="AO28" s="130"/>
      <c r="AP28" s="136">
        <f>'Slot 7 - dose'!C30</f>
        <v>4.7759515053081287</v>
      </c>
      <c r="AQ28" s="133"/>
    </row>
    <row r="29" spans="3:48" ht="45" customHeight="1">
      <c r="D29" s="48">
        <v>1</v>
      </c>
      <c r="E29" s="120">
        <v>-4</v>
      </c>
      <c r="G29" s="58"/>
      <c r="H29" s="58"/>
      <c r="I29" s="58"/>
      <c r="J29" s="99"/>
      <c r="K29" s="99"/>
      <c r="L29" s="99">
        <v>95</v>
      </c>
      <c r="M29" s="99">
        <v>96</v>
      </c>
      <c r="N29" s="98">
        <v>97</v>
      </c>
      <c r="O29" s="98">
        <v>98</v>
      </c>
      <c r="P29" s="98"/>
      <c r="Q29" s="58"/>
      <c r="R29" s="58"/>
      <c r="S29" s="58"/>
      <c r="AB29" s="48">
        <v>1</v>
      </c>
      <c r="AC29" s="120">
        <v>-4</v>
      </c>
      <c r="AE29" s="70"/>
      <c r="AF29" s="70"/>
      <c r="AG29" s="70"/>
      <c r="AH29" s="131"/>
      <c r="AI29" s="131"/>
      <c r="AJ29" s="131"/>
      <c r="AK29" s="131"/>
      <c r="AL29" s="130"/>
      <c r="AM29" s="130"/>
      <c r="AN29" s="130"/>
      <c r="AO29" s="70"/>
      <c r="AP29" s="70"/>
      <c r="AQ29" s="70"/>
    </row>
    <row r="30" spans="3:48" ht="45" customHeight="1">
      <c r="D30" s="48">
        <v>0</v>
      </c>
      <c r="E30" s="120">
        <v>-5</v>
      </c>
      <c r="AB30" s="48">
        <v>0</v>
      </c>
      <c r="AC30" s="120">
        <v>-5</v>
      </c>
    </row>
    <row r="33" spans="3:48" ht="45" customHeight="1">
      <c r="C33" s="139" t="s">
        <v>41</v>
      </c>
      <c r="AA33" s="139" t="s">
        <v>41</v>
      </c>
    </row>
    <row r="34" spans="3:48" ht="45" customHeight="1">
      <c r="F34" s="48">
        <v>0</v>
      </c>
      <c r="G34" s="48">
        <v>1</v>
      </c>
      <c r="H34" s="48">
        <v>2</v>
      </c>
      <c r="I34" s="48">
        <v>3</v>
      </c>
      <c r="J34" s="48">
        <v>4</v>
      </c>
      <c r="K34" s="48">
        <v>5</v>
      </c>
      <c r="L34" s="48">
        <v>6</v>
      </c>
      <c r="M34" s="48">
        <v>7</v>
      </c>
      <c r="N34" s="48">
        <v>8</v>
      </c>
      <c r="O34" s="48">
        <v>9</v>
      </c>
      <c r="P34" s="48">
        <v>10</v>
      </c>
      <c r="Q34" s="48">
        <v>11</v>
      </c>
      <c r="R34" s="48">
        <v>12</v>
      </c>
      <c r="S34" s="48">
        <v>13</v>
      </c>
      <c r="T34" s="48">
        <v>14</v>
      </c>
      <c r="AD34" s="48">
        <v>0</v>
      </c>
      <c r="AE34" s="48">
        <v>1</v>
      </c>
      <c r="AF34" s="48">
        <v>2</v>
      </c>
      <c r="AG34" s="48">
        <v>3</v>
      </c>
      <c r="AH34" s="48">
        <v>4</v>
      </c>
      <c r="AI34" s="48">
        <v>5</v>
      </c>
      <c r="AJ34" s="48">
        <v>6</v>
      </c>
      <c r="AK34" s="48">
        <v>7</v>
      </c>
      <c r="AL34" s="48">
        <v>8</v>
      </c>
      <c r="AM34" s="48">
        <v>9</v>
      </c>
      <c r="AN34" s="48">
        <v>10</v>
      </c>
      <c r="AO34" s="48">
        <v>11</v>
      </c>
      <c r="AP34" s="48">
        <v>12</v>
      </c>
      <c r="AQ34" s="48">
        <v>13</v>
      </c>
      <c r="AR34" s="48">
        <v>14</v>
      </c>
    </row>
    <row r="35" spans="3:48" ht="45" customHeight="1">
      <c r="F35" s="48">
        <v>-7</v>
      </c>
      <c r="G35" s="48">
        <v>-6</v>
      </c>
      <c r="H35" s="48">
        <v>-5</v>
      </c>
      <c r="I35" s="48">
        <v>-4</v>
      </c>
      <c r="J35" s="48">
        <v>-3</v>
      </c>
      <c r="K35" s="48">
        <v>-2</v>
      </c>
      <c r="L35" s="48">
        <v>-1</v>
      </c>
      <c r="M35" s="48">
        <v>0</v>
      </c>
      <c r="N35" s="48">
        <v>1</v>
      </c>
      <c r="O35" s="48">
        <v>2</v>
      </c>
      <c r="P35" s="48">
        <v>3</v>
      </c>
      <c r="Q35" s="48">
        <v>4</v>
      </c>
      <c r="R35" s="48">
        <v>5</v>
      </c>
      <c r="S35" s="48">
        <v>6</v>
      </c>
      <c r="T35" s="48">
        <v>7</v>
      </c>
      <c r="AD35" s="48">
        <v>-7</v>
      </c>
      <c r="AE35" s="48">
        <v>-6</v>
      </c>
      <c r="AF35" s="48">
        <v>-5</v>
      </c>
      <c r="AG35" s="48">
        <v>-4</v>
      </c>
      <c r="AH35" s="48">
        <v>-3</v>
      </c>
      <c r="AI35" s="48">
        <v>-2</v>
      </c>
      <c r="AJ35" s="48">
        <v>-1</v>
      </c>
      <c r="AK35" s="48">
        <v>0</v>
      </c>
      <c r="AL35" s="48">
        <v>1</v>
      </c>
      <c r="AM35" s="48">
        <v>2</v>
      </c>
      <c r="AN35" s="48">
        <v>3</v>
      </c>
      <c r="AO35" s="48">
        <v>4</v>
      </c>
      <c r="AP35" s="48">
        <v>5</v>
      </c>
      <c r="AQ35" s="48">
        <v>6</v>
      </c>
      <c r="AR35" s="48">
        <v>7</v>
      </c>
    </row>
    <row r="36" spans="3:48" ht="45" customHeight="1">
      <c r="D36" s="48">
        <v>10</v>
      </c>
      <c r="E36" s="120">
        <v>5</v>
      </c>
      <c r="AB36" s="48">
        <v>10</v>
      </c>
      <c r="AC36" s="120">
        <v>5</v>
      </c>
    </row>
    <row r="37" spans="3:48" ht="45" customHeight="1">
      <c r="D37" s="48">
        <v>9</v>
      </c>
      <c r="E37" s="120">
        <v>4</v>
      </c>
      <c r="G37" s="58"/>
      <c r="H37" s="58"/>
      <c r="I37" s="58"/>
      <c r="J37" s="85"/>
      <c r="K37" s="85"/>
      <c r="L37" s="123">
        <v>1</v>
      </c>
      <c r="M37" s="86">
        <v>2</v>
      </c>
      <c r="N37" s="86">
        <v>3</v>
      </c>
      <c r="O37" s="86">
        <v>4</v>
      </c>
      <c r="P37" s="86"/>
      <c r="Q37" s="58"/>
      <c r="R37" s="58"/>
      <c r="S37" s="58"/>
      <c r="AB37" s="48">
        <v>9</v>
      </c>
      <c r="AC37" s="120">
        <v>4</v>
      </c>
      <c r="AE37" s="70"/>
      <c r="AF37" s="70"/>
      <c r="AG37" s="70"/>
      <c r="AH37" s="127"/>
      <c r="AI37" s="127"/>
      <c r="AJ37" s="134">
        <f>'Slot 11 - dose'!C31</f>
        <v>4.7761622863905213</v>
      </c>
      <c r="AK37" s="128"/>
      <c r="AL37" s="128"/>
      <c r="AM37" s="128"/>
      <c r="AN37" s="128"/>
      <c r="AO37" s="70"/>
      <c r="AP37" s="70"/>
      <c r="AQ37" s="70"/>
    </row>
    <row r="38" spans="3:48" ht="45" customHeight="1">
      <c r="D38" s="48">
        <v>8</v>
      </c>
      <c r="E38" s="120">
        <v>3</v>
      </c>
      <c r="G38" s="58"/>
      <c r="H38" s="85"/>
      <c r="I38" s="85"/>
      <c r="J38" s="127">
        <v>8</v>
      </c>
      <c r="K38" s="127">
        <v>9</v>
      </c>
      <c r="L38" s="127">
        <v>10</v>
      </c>
      <c r="M38" s="128">
        <v>11</v>
      </c>
      <c r="N38" s="128">
        <v>12</v>
      </c>
      <c r="O38" s="128">
        <v>13</v>
      </c>
      <c r="P38" s="128">
        <v>14</v>
      </c>
      <c r="Q38" s="128">
        <v>15</v>
      </c>
      <c r="R38" s="128">
        <v>16</v>
      </c>
      <c r="AB38" s="48">
        <v>8</v>
      </c>
      <c r="AC38" s="120">
        <v>3</v>
      </c>
      <c r="AE38" s="70"/>
      <c r="AF38" s="127"/>
      <c r="AG38" s="127"/>
      <c r="AH38" s="127"/>
      <c r="AI38" s="127"/>
      <c r="AJ38" s="134"/>
      <c r="AK38" s="128"/>
      <c r="AL38" s="128"/>
      <c r="AM38" s="128"/>
      <c r="AN38" s="128"/>
      <c r="AO38" s="128"/>
      <c r="AP38" s="128"/>
      <c r="AQ38" s="133"/>
    </row>
    <row r="39" spans="3:48" ht="45" customHeight="1">
      <c r="D39" s="48">
        <v>7</v>
      </c>
      <c r="E39" s="120">
        <v>2</v>
      </c>
      <c r="G39" s="85"/>
      <c r="H39" s="85"/>
      <c r="I39" s="85">
        <v>19</v>
      </c>
      <c r="J39" s="127">
        <v>20</v>
      </c>
      <c r="K39" s="127">
        <v>21</v>
      </c>
      <c r="L39" s="127">
        <v>22</v>
      </c>
      <c r="M39" s="128">
        <v>23</v>
      </c>
      <c r="N39" s="128">
        <v>24</v>
      </c>
      <c r="O39" s="128">
        <v>25</v>
      </c>
      <c r="P39" s="128">
        <v>26</v>
      </c>
      <c r="Q39" s="128">
        <v>27</v>
      </c>
      <c r="R39" s="128">
        <v>28</v>
      </c>
      <c r="S39" s="86"/>
      <c r="W39" s="86"/>
      <c r="X39" s="58" t="s">
        <v>33</v>
      </c>
      <c r="AB39" s="48">
        <v>7</v>
      </c>
      <c r="AC39" s="120">
        <v>2</v>
      </c>
      <c r="AE39" s="127"/>
      <c r="AF39" s="127"/>
      <c r="AG39" s="127"/>
      <c r="AH39" s="127"/>
      <c r="AI39" s="127"/>
      <c r="AJ39" s="127"/>
      <c r="AK39" s="128"/>
      <c r="AL39" s="135"/>
      <c r="AM39" s="128"/>
      <c r="AN39" s="128"/>
      <c r="AO39" s="128"/>
      <c r="AP39" s="128"/>
      <c r="AQ39" s="128"/>
      <c r="AU39" s="86"/>
      <c r="AV39" s="58" t="s">
        <v>33</v>
      </c>
    </row>
    <row r="40" spans="3:48" ht="45" customHeight="1">
      <c r="D40" s="48">
        <v>6</v>
      </c>
      <c r="E40" s="120">
        <v>1</v>
      </c>
      <c r="G40" s="85"/>
      <c r="H40" s="85"/>
      <c r="I40" s="85">
        <v>32</v>
      </c>
      <c r="J40" s="123">
        <v>33</v>
      </c>
      <c r="K40" s="127">
        <v>34</v>
      </c>
      <c r="L40" s="123">
        <v>35</v>
      </c>
      <c r="M40" s="128">
        <v>36</v>
      </c>
      <c r="N40" s="124">
        <v>37</v>
      </c>
      <c r="O40" s="128">
        <v>38</v>
      </c>
      <c r="P40" s="128">
        <v>39</v>
      </c>
      <c r="Q40" s="128">
        <v>40</v>
      </c>
      <c r="R40" s="128">
        <v>41</v>
      </c>
      <c r="S40" s="86"/>
      <c r="W40" s="98"/>
      <c r="X40" s="58" t="s">
        <v>34</v>
      </c>
      <c r="AB40" s="48">
        <v>6</v>
      </c>
      <c r="AC40" s="120">
        <v>1</v>
      </c>
      <c r="AE40" s="127"/>
      <c r="AF40" s="127"/>
      <c r="AG40" s="127"/>
      <c r="AH40" s="134">
        <f>'Slot 11 - dose'!C32</f>
        <v>4.9059561153155986</v>
      </c>
      <c r="AI40" s="127"/>
      <c r="AJ40" s="134">
        <f>'Slot 11 - dose'!C33</f>
        <v>5.0255103214567178</v>
      </c>
      <c r="AK40" s="128"/>
      <c r="AL40" s="135">
        <f>'Slot 11 - dose'!C23</f>
        <v>5.6724267375450532</v>
      </c>
      <c r="AM40" s="128"/>
      <c r="AN40" s="135"/>
      <c r="AO40" s="128"/>
      <c r="AP40" s="128"/>
      <c r="AQ40" s="128"/>
      <c r="AU40" s="98"/>
      <c r="AV40" s="58" t="s">
        <v>34</v>
      </c>
    </row>
    <row r="41" spans="3:48" ht="45" customHeight="1">
      <c r="D41" s="48">
        <v>5</v>
      </c>
      <c r="E41" s="120">
        <v>0</v>
      </c>
      <c r="G41" s="85"/>
      <c r="H41" s="85"/>
      <c r="I41" s="85">
        <v>45</v>
      </c>
      <c r="J41" s="127">
        <v>46</v>
      </c>
      <c r="K41" s="123">
        <v>47</v>
      </c>
      <c r="L41" s="127">
        <v>48</v>
      </c>
      <c r="M41" s="129">
        <v>49</v>
      </c>
      <c r="N41" s="130">
        <v>50</v>
      </c>
      <c r="O41" s="130">
        <v>51</v>
      </c>
      <c r="P41" s="130">
        <v>52</v>
      </c>
      <c r="Q41" s="130">
        <v>53</v>
      </c>
      <c r="R41" s="126">
        <v>54</v>
      </c>
      <c r="S41" s="98"/>
      <c r="W41" s="99"/>
      <c r="X41" s="58" t="s">
        <v>35</v>
      </c>
      <c r="AB41" s="48">
        <v>5</v>
      </c>
      <c r="AC41" s="120">
        <v>0</v>
      </c>
      <c r="AE41" s="127"/>
      <c r="AF41" s="127"/>
      <c r="AG41" s="134"/>
      <c r="AH41" s="127"/>
      <c r="AI41" s="134">
        <f>'Slot 11 - dose'!C34</f>
        <v>5.0594240734837292</v>
      </c>
      <c r="AJ41" s="134"/>
      <c r="AK41" s="129"/>
      <c r="AL41" s="130"/>
      <c r="AM41" s="136"/>
      <c r="AN41" s="130"/>
      <c r="AO41" s="130"/>
      <c r="AP41" s="136">
        <f>'Slot 11 - dose'!C25</f>
        <v>4.5212135921007519</v>
      </c>
      <c r="AQ41" s="130"/>
      <c r="AU41" s="99"/>
      <c r="AV41" s="58" t="s">
        <v>35</v>
      </c>
    </row>
    <row r="42" spans="3:48" ht="45" customHeight="1">
      <c r="D42" s="48">
        <v>4</v>
      </c>
      <c r="E42" s="120">
        <v>-1</v>
      </c>
      <c r="G42" s="99"/>
      <c r="H42" s="99"/>
      <c r="I42" s="125">
        <v>58</v>
      </c>
      <c r="J42" s="131">
        <v>59</v>
      </c>
      <c r="K42" s="131">
        <v>60</v>
      </c>
      <c r="L42" s="131">
        <v>61</v>
      </c>
      <c r="M42" s="131">
        <v>62</v>
      </c>
      <c r="N42" s="130">
        <v>63</v>
      </c>
      <c r="O42" s="130">
        <v>64</v>
      </c>
      <c r="P42" s="130">
        <v>65</v>
      </c>
      <c r="Q42" s="130">
        <v>66</v>
      </c>
      <c r="R42" s="130">
        <v>67</v>
      </c>
      <c r="S42" s="98"/>
      <c r="W42" s="85"/>
      <c r="X42" s="58" t="s">
        <v>36</v>
      </c>
      <c r="AB42" s="48">
        <v>4</v>
      </c>
      <c r="AC42" s="120">
        <v>-1</v>
      </c>
      <c r="AE42" s="131"/>
      <c r="AF42" s="131"/>
      <c r="AG42" s="137">
        <f>'Slot 11 - dose'!C29</f>
        <v>4.9321930232132321</v>
      </c>
      <c r="AH42" s="131"/>
      <c r="AI42" s="131"/>
      <c r="AJ42" s="131"/>
      <c r="AK42" s="131"/>
      <c r="AL42" s="136"/>
      <c r="AM42" s="130"/>
      <c r="AN42" s="130"/>
      <c r="AO42" s="130"/>
      <c r="AP42" s="130"/>
      <c r="AQ42" s="130"/>
      <c r="AU42" s="85"/>
      <c r="AV42" s="58" t="s">
        <v>36</v>
      </c>
    </row>
    <row r="43" spans="3:48" ht="45" customHeight="1">
      <c r="D43" s="48">
        <v>3</v>
      </c>
      <c r="E43" s="120">
        <v>-2</v>
      </c>
      <c r="G43" s="99"/>
      <c r="H43" s="99"/>
      <c r="I43" s="99">
        <v>71</v>
      </c>
      <c r="J43" s="131">
        <v>72</v>
      </c>
      <c r="K43" s="131">
        <v>73</v>
      </c>
      <c r="L43" s="131">
        <v>74</v>
      </c>
      <c r="M43" s="131">
        <v>75</v>
      </c>
      <c r="N43" s="126">
        <v>76</v>
      </c>
      <c r="O43" s="130">
        <v>77</v>
      </c>
      <c r="P43" s="130">
        <v>78</v>
      </c>
      <c r="Q43" s="130">
        <v>79</v>
      </c>
      <c r="R43" s="130">
        <v>80</v>
      </c>
      <c r="S43" s="98"/>
      <c r="W43" s="122"/>
      <c r="X43" s="119" t="s">
        <v>37</v>
      </c>
      <c r="AB43" s="48">
        <v>3</v>
      </c>
      <c r="AC43" s="120">
        <v>-2</v>
      </c>
      <c r="AE43" s="131"/>
      <c r="AF43" s="131"/>
      <c r="AG43" s="131"/>
      <c r="AH43" s="137"/>
      <c r="AI43" s="131"/>
      <c r="AJ43" s="131"/>
      <c r="AK43" s="131"/>
      <c r="AL43" s="136">
        <f>'Slot 11 - dose'!C26</f>
        <v>5.144772327798993</v>
      </c>
      <c r="AM43" s="130"/>
      <c r="AN43" s="136"/>
      <c r="AO43" s="130"/>
      <c r="AP43" s="130"/>
      <c r="AQ43" s="130"/>
      <c r="AU43" s="122"/>
      <c r="AV43" s="119" t="s">
        <v>37</v>
      </c>
    </row>
    <row r="44" spans="3:48" ht="45" customHeight="1">
      <c r="D44" s="48">
        <v>2</v>
      </c>
      <c r="E44" s="120">
        <v>-3</v>
      </c>
      <c r="G44" s="58"/>
      <c r="H44" s="99"/>
      <c r="I44" s="99"/>
      <c r="J44" s="131">
        <v>84</v>
      </c>
      <c r="K44" s="131">
        <v>85</v>
      </c>
      <c r="L44" s="131">
        <v>86</v>
      </c>
      <c r="M44" s="131">
        <v>87</v>
      </c>
      <c r="N44" s="130">
        <v>88</v>
      </c>
      <c r="O44" s="126">
        <v>89</v>
      </c>
      <c r="P44" s="130">
        <v>90</v>
      </c>
      <c r="Q44" s="130">
        <v>91</v>
      </c>
      <c r="R44" s="130">
        <v>92</v>
      </c>
      <c r="W44" s="138" t="s">
        <v>38</v>
      </c>
      <c r="X44" s="119" t="s">
        <v>39</v>
      </c>
      <c r="AB44" s="48">
        <v>2</v>
      </c>
      <c r="AC44" s="120">
        <v>-3</v>
      </c>
      <c r="AE44" s="70"/>
      <c r="AF44" s="131"/>
      <c r="AG44" s="131"/>
      <c r="AH44" s="131"/>
      <c r="AI44" s="131"/>
      <c r="AJ44" s="131"/>
      <c r="AK44" s="131"/>
      <c r="AL44" s="130"/>
      <c r="AM44" s="136">
        <f>'Slot 11 - dose'!C27</f>
        <v>4.4133391833875422</v>
      </c>
      <c r="AN44" s="130"/>
      <c r="AO44" s="130"/>
      <c r="AP44" s="130"/>
      <c r="AQ44" s="133"/>
    </row>
    <row r="45" spans="3:48" ht="45" customHeight="1">
      <c r="D45" s="48">
        <v>1</v>
      </c>
      <c r="E45" s="120">
        <v>-4</v>
      </c>
      <c r="G45" s="58"/>
      <c r="H45" s="58"/>
      <c r="I45" s="58"/>
      <c r="J45" s="99"/>
      <c r="K45" s="99"/>
      <c r="L45" s="125">
        <v>95</v>
      </c>
      <c r="M45" s="99">
        <v>96</v>
      </c>
      <c r="N45" s="98">
        <v>97</v>
      </c>
      <c r="O45" s="98">
        <v>98</v>
      </c>
      <c r="P45" s="98">
        <v>99</v>
      </c>
      <c r="Q45" s="132">
        <v>100</v>
      </c>
      <c r="R45" s="58"/>
      <c r="S45" s="58"/>
      <c r="AB45" s="48">
        <v>1</v>
      </c>
      <c r="AC45" s="120">
        <v>-4</v>
      </c>
      <c r="AE45" s="70"/>
      <c r="AF45" s="70"/>
      <c r="AG45" s="70"/>
      <c r="AH45" s="131"/>
      <c r="AI45" s="131"/>
      <c r="AJ45" s="131"/>
      <c r="AK45" s="131"/>
      <c r="AL45" s="130"/>
      <c r="AM45" s="130"/>
      <c r="AN45" s="130"/>
      <c r="AO45" s="70"/>
      <c r="AP45" s="70"/>
      <c r="AQ45" s="70"/>
    </row>
    <row r="46" spans="3:48" ht="45" customHeight="1">
      <c r="D46" s="48">
        <v>0</v>
      </c>
      <c r="E46" s="120">
        <v>-5</v>
      </c>
      <c r="AB46" s="48">
        <v>0</v>
      </c>
      <c r="AC46" s="120">
        <v>-5</v>
      </c>
    </row>
    <row r="49" spans="3:48" ht="45" customHeight="1">
      <c r="C49" s="139" t="s">
        <v>42</v>
      </c>
      <c r="AA49" s="139" t="s">
        <v>42</v>
      </c>
    </row>
    <row r="50" spans="3:48" ht="45" customHeight="1">
      <c r="F50" s="48">
        <v>0</v>
      </c>
      <c r="G50" s="48">
        <v>1</v>
      </c>
      <c r="H50" s="48">
        <v>2</v>
      </c>
      <c r="I50" s="48">
        <v>3</v>
      </c>
      <c r="J50" s="48">
        <v>4</v>
      </c>
      <c r="K50" s="48">
        <v>5</v>
      </c>
      <c r="L50" s="48">
        <v>6</v>
      </c>
      <c r="M50" s="48">
        <v>7</v>
      </c>
      <c r="N50" s="48">
        <v>8</v>
      </c>
      <c r="O50" s="48">
        <v>9</v>
      </c>
      <c r="P50" s="48">
        <v>10</v>
      </c>
      <c r="Q50" s="48">
        <v>11</v>
      </c>
      <c r="R50" s="48">
        <v>12</v>
      </c>
      <c r="S50" s="48">
        <v>13</v>
      </c>
      <c r="T50" s="48">
        <v>14</v>
      </c>
      <c r="AD50" s="48">
        <v>0</v>
      </c>
      <c r="AE50" s="48">
        <v>1</v>
      </c>
      <c r="AF50" s="48">
        <v>2</v>
      </c>
      <c r="AG50" s="48">
        <v>3</v>
      </c>
      <c r="AH50" s="48">
        <v>4</v>
      </c>
      <c r="AI50" s="48">
        <v>5</v>
      </c>
      <c r="AJ50" s="48">
        <v>6</v>
      </c>
      <c r="AK50" s="48">
        <v>7</v>
      </c>
      <c r="AL50" s="48">
        <v>8</v>
      </c>
      <c r="AM50" s="48">
        <v>9</v>
      </c>
      <c r="AN50" s="48">
        <v>10</v>
      </c>
      <c r="AO50" s="48">
        <v>11</v>
      </c>
      <c r="AP50" s="48">
        <v>12</v>
      </c>
      <c r="AQ50" s="48">
        <v>13</v>
      </c>
      <c r="AR50" s="48">
        <v>14</v>
      </c>
    </row>
    <row r="51" spans="3:48" ht="45" customHeight="1">
      <c r="F51" s="48">
        <v>-7</v>
      </c>
      <c r="G51" s="48">
        <v>-6</v>
      </c>
      <c r="H51" s="48">
        <v>-5</v>
      </c>
      <c r="I51" s="48">
        <v>-4</v>
      </c>
      <c r="J51" s="48">
        <v>-3</v>
      </c>
      <c r="K51" s="48">
        <v>-2</v>
      </c>
      <c r="L51" s="48">
        <v>-1</v>
      </c>
      <c r="M51" s="48">
        <v>0</v>
      </c>
      <c r="N51" s="48">
        <v>1</v>
      </c>
      <c r="O51" s="48">
        <v>2</v>
      </c>
      <c r="P51" s="48">
        <v>3</v>
      </c>
      <c r="Q51" s="48">
        <v>4</v>
      </c>
      <c r="R51" s="48">
        <v>5</v>
      </c>
      <c r="S51" s="48">
        <v>6</v>
      </c>
      <c r="T51" s="48">
        <v>7</v>
      </c>
      <c r="AD51" s="48">
        <v>-7</v>
      </c>
      <c r="AE51" s="48">
        <v>-6</v>
      </c>
      <c r="AF51" s="48">
        <v>-5</v>
      </c>
      <c r="AG51" s="48">
        <v>-4</v>
      </c>
      <c r="AH51" s="48">
        <v>-3</v>
      </c>
      <c r="AI51" s="48">
        <v>-2</v>
      </c>
      <c r="AJ51" s="48">
        <v>-1</v>
      </c>
      <c r="AK51" s="48">
        <v>0</v>
      </c>
      <c r="AL51" s="48">
        <v>1</v>
      </c>
      <c r="AM51" s="48">
        <v>2</v>
      </c>
      <c r="AN51" s="48">
        <v>3</v>
      </c>
      <c r="AO51" s="48">
        <v>4</v>
      </c>
      <c r="AP51" s="48">
        <v>5</v>
      </c>
      <c r="AQ51" s="48">
        <v>6</v>
      </c>
      <c r="AR51" s="48">
        <v>7</v>
      </c>
    </row>
    <row r="52" spans="3:48" ht="45" customHeight="1">
      <c r="D52" s="48">
        <v>10</v>
      </c>
      <c r="E52" s="120">
        <v>5</v>
      </c>
      <c r="AB52" s="48">
        <v>10</v>
      </c>
      <c r="AC52" s="120">
        <v>5</v>
      </c>
    </row>
    <row r="53" spans="3:48" ht="45" customHeight="1">
      <c r="D53" s="48">
        <v>9</v>
      </c>
      <c r="E53" s="120">
        <v>4</v>
      </c>
      <c r="G53" s="58"/>
      <c r="H53" s="58"/>
      <c r="I53" s="58"/>
      <c r="J53" s="85"/>
      <c r="K53" s="127"/>
      <c r="L53" s="127">
        <v>1</v>
      </c>
      <c r="M53" s="128">
        <v>2</v>
      </c>
      <c r="N53" s="128">
        <v>3</v>
      </c>
      <c r="O53" s="128">
        <v>4</v>
      </c>
      <c r="P53" s="128"/>
      <c r="Q53" s="70"/>
      <c r="R53" s="70"/>
      <c r="S53" s="58"/>
      <c r="AB53" s="48">
        <v>9</v>
      </c>
      <c r="AC53" s="120">
        <v>4</v>
      </c>
      <c r="AE53" s="70"/>
      <c r="AF53" s="70"/>
      <c r="AG53" s="70"/>
      <c r="AH53" s="127"/>
      <c r="AI53" s="127"/>
      <c r="AJ53" s="127"/>
      <c r="AK53" s="128"/>
      <c r="AL53" s="128"/>
      <c r="AM53" s="128"/>
      <c r="AN53" s="128"/>
      <c r="AO53" s="70"/>
      <c r="AP53" s="70"/>
      <c r="AQ53" s="70"/>
    </row>
    <row r="54" spans="3:48" ht="45" customHeight="1">
      <c r="D54" s="48">
        <v>8</v>
      </c>
      <c r="E54" s="120">
        <v>3</v>
      </c>
      <c r="G54" s="58"/>
      <c r="H54" s="85"/>
      <c r="I54" s="85"/>
      <c r="J54" s="127">
        <v>8</v>
      </c>
      <c r="K54" s="127">
        <v>9</v>
      </c>
      <c r="L54" s="123">
        <v>10</v>
      </c>
      <c r="M54" s="128">
        <v>11</v>
      </c>
      <c r="N54" s="128">
        <v>12</v>
      </c>
      <c r="O54" s="128">
        <v>13</v>
      </c>
      <c r="P54" s="128">
        <v>14</v>
      </c>
      <c r="Q54" s="128">
        <v>15</v>
      </c>
      <c r="R54" s="128">
        <v>16</v>
      </c>
      <c r="AB54" s="48">
        <v>8</v>
      </c>
      <c r="AC54" s="120">
        <v>3</v>
      </c>
      <c r="AE54" s="70"/>
      <c r="AF54" s="127"/>
      <c r="AG54" s="127"/>
      <c r="AH54" s="127"/>
      <c r="AI54" s="127"/>
      <c r="AJ54" s="134">
        <f>'Slot 12 - dose'!C34</f>
        <v>3.0386560579999999</v>
      </c>
      <c r="AK54" s="128"/>
      <c r="AL54" s="128"/>
      <c r="AM54" s="128"/>
      <c r="AN54" s="128"/>
      <c r="AO54" s="128"/>
      <c r="AP54" s="128"/>
      <c r="AQ54" s="133"/>
    </row>
    <row r="55" spans="3:48" ht="45" customHeight="1">
      <c r="D55" s="48">
        <v>7</v>
      </c>
      <c r="E55" s="120">
        <v>2</v>
      </c>
      <c r="G55" s="85"/>
      <c r="H55" s="85"/>
      <c r="I55" s="85">
        <v>19</v>
      </c>
      <c r="J55" s="127">
        <v>20</v>
      </c>
      <c r="K55" s="127">
        <v>21</v>
      </c>
      <c r="L55" s="127">
        <v>22</v>
      </c>
      <c r="M55" s="128">
        <v>23</v>
      </c>
      <c r="N55" s="124">
        <v>24</v>
      </c>
      <c r="O55" s="128">
        <v>25</v>
      </c>
      <c r="P55" s="128">
        <v>26</v>
      </c>
      <c r="Q55" s="128">
        <v>27</v>
      </c>
      <c r="R55" s="128">
        <v>28</v>
      </c>
      <c r="S55" s="86"/>
      <c r="W55" s="86"/>
      <c r="X55" s="58" t="s">
        <v>33</v>
      </c>
      <c r="AB55" s="48">
        <v>7</v>
      </c>
      <c r="AC55" s="120">
        <v>2</v>
      </c>
      <c r="AE55" s="127"/>
      <c r="AF55" s="127"/>
      <c r="AG55" s="127"/>
      <c r="AH55" s="127"/>
      <c r="AI55" s="127"/>
      <c r="AJ55" s="127"/>
      <c r="AK55" s="128"/>
      <c r="AL55" s="135">
        <f>'Slot 12 - dose'!C23</f>
        <v>7.0545806950000003</v>
      </c>
      <c r="AM55" s="128"/>
      <c r="AN55" s="128"/>
      <c r="AO55" s="128"/>
      <c r="AP55" s="128"/>
      <c r="AQ55" s="128"/>
      <c r="AU55" s="86"/>
      <c r="AV55" s="58" t="s">
        <v>33</v>
      </c>
    </row>
    <row r="56" spans="3:48" ht="45" customHeight="1">
      <c r="D56" s="48">
        <v>6</v>
      </c>
      <c r="E56" s="120">
        <v>1</v>
      </c>
      <c r="G56" s="85"/>
      <c r="H56" s="85"/>
      <c r="I56" s="127">
        <v>32</v>
      </c>
      <c r="J56" s="127">
        <v>33</v>
      </c>
      <c r="K56" s="127">
        <v>34</v>
      </c>
      <c r="L56" s="127">
        <v>35</v>
      </c>
      <c r="M56" s="124">
        <v>36</v>
      </c>
      <c r="N56" s="128">
        <v>37</v>
      </c>
      <c r="O56" s="128">
        <v>38</v>
      </c>
      <c r="P56" s="124">
        <v>39</v>
      </c>
      <c r="Q56" s="128">
        <v>40</v>
      </c>
      <c r="R56" s="128">
        <v>41</v>
      </c>
      <c r="S56" s="86"/>
      <c r="W56" s="98"/>
      <c r="X56" s="58" t="s">
        <v>34</v>
      </c>
      <c r="AB56" s="48">
        <v>6</v>
      </c>
      <c r="AC56" s="120">
        <v>1</v>
      </c>
      <c r="AE56" s="127"/>
      <c r="AF56" s="127"/>
      <c r="AG56" s="127"/>
      <c r="AH56" s="127"/>
      <c r="AI56" s="127"/>
      <c r="AJ56" s="127"/>
      <c r="AK56" s="135">
        <f>'Slot 12 - dose'!C24</f>
        <v>7.5593760029999997</v>
      </c>
      <c r="AL56" s="128"/>
      <c r="AM56" s="128"/>
      <c r="AN56" s="135">
        <f>'Slot 12 - dose'!C25</f>
        <v>6.8878791560000003</v>
      </c>
      <c r="AO56" s="128"/>
      <c r="AP56" s="128"/>
      <c r="AQ56" s="128"/>
      <c r="AU56" s="98"/>
      <c r="AV56" s="58" t="s">
        <v>34</v>
      </c>
    </row>
    <row r="57" spans="3:48" ht="45" customHeight="1">
      <c r="D57" s="48">
        <v>5</v>
      </c>
      <c r="E57" s="120">
        <v>0</v>
      </c>
      <c r="G57" s="85"/>
      <c r="H57" s="85"/>
      <c r="I57" s="127">
        <v>45</v>
      </c>
      <c r="J57" s="127">
        <v>46</v>
      </c>
      <c r="K57" s="127">
        <v>47</v>
      </c>
      <c r="L57" s="123">
        <v>48</v>
      </c>
      <c r="M57" s="129">
        <v>49</v>
      </c>
      <c r="N57" s="130">
        <v>50</v>
      </c>
      <c r="O57" s="126">
        <v>51</v>
      </c>
      <c r="P57" s="130">
        <v>52</v>
      </c>
      <c r="Q57" s="130">
        <v>53</v>
      </c>
      <c r="R57" s="126">
        <v>54</v>
      </c>
      <c r="S57" s="98"/>
      <c r="W57" s="99"/>
      <c r="X57" s="58" t="s">
        <v>35</v>
      </c>
      <c r="AB57" s="48">
        <v>5</v>
      </c>
      <c r="AC57" s="120">
        <v>0</v>
      </c>
      <c r="AE57" s="127"/>
      <c r="AF57" s="127"/>
      <c r="AG57" s="134"/>
      <c r="AH57" s="127"/>
      <c r="AI57" s="127"/>
      <c r="AJ57" s="134">
        <f>'Slot 12 - dose'!C35</f>
        <v>4.9315566400000002</v>
      </c>
      <c r="AK57" s="129"/>
      <c r="AL57" s="130"/>
      <c r="AM57" s="136">
        <f>'Slot 12 - dose'!C27</f>
        <v>6.2792691490000001</v>
      </c>
      <c r="AN57" s="130"/>
      <c r="AO57" s="130"/>
      <c r="AP57" s="136">
        <f>'Slot 12 - dose'!C28</f>
        <v>3.4768161219999998</v>
      </c>
      <c r="AQ57" s="130"/>
      <c r="AU57" s="99"/>
      <c r="AV57" s="58" t="s">
        <v>35</v>
      </c>
    </row>
    <row r="58" spans="3:48" ht="45" customHeight="1">
      <c r="D58" s="48">
        <v>4</v>
      </c>
      <c r="E58" s="120">
        <v>-1</v>
      </c>
      <c r="G58" s="99"/>
      <c r="H58" s="99"/>
      <c r="I58" s="131">
        <v>58</v>
      </c>
      <c r="J58" s="131">
        <v>59</v>
      </c>
      <c r="K58" s="131">
        <v>60</v>
      </c>
      <c r="L58" s="131">
        <v>61</v>
      </c>
      <c r="M58" s="131">
        <v>62</v>
      </c>
      <c r="N58" s="126">
        <v>63</v>
      </c>
      <c r="O58" s="130">
        <v>64</v>
      </c>
      <c r="P58" s="130">
        <v>65</v>
      </c>
      <c r="Q58" s="130">
        <v>66</v>
      </c>
      <c r="R58" s="130">
        <v>67</v>
      </c>
      <c r="S58" s="98"/>
      <c r="W58" s="85"/>
      <c r="X58" s="58" t="s">
        <v>36</v>
      </c>
      <c r="AB58" s="48">
        <v>4</v>
      </c>
      <c r="AC58" s="120">
        <v>-1</v>
      </c>
      <c r="AE58" s="131"/>
      <c r="AF58" s="131"/>
      <c r="AG58" s="131"/>
      <c r="AH58" s="131"/>
      <c r="AI58" s="131"/>
      <c r="AJ58" s="131"/>
      <c r="AK58" s="131"/>
      <c r="AL58" s="136">
        <f>'Slot 12 - dose'!C29</f>
        <v>5.2923086369999996</v>
      </c>
      <c r="AM58" s="130"/>
      <c r="AN58" s="130"/>
      <c r="AO58" s="130"/>
      <c r="AP58" s="130"/>
      <c r="AQ58" s="130"/>
      <c r="AU58" s="85"/>
      <c r="AV58" s="58" t="s">
        <v>36</v>
      </c>
    </row>
    <row r="59" spans="3:48" ht="45" customHeight="1">
      <c r="D59" s="48">
        <v>3</v>
      </c>
      <c r="E59" s="120">
        <v>-2</v>
      </c>
      <c r="G59" s="99"/>
      <c r="H59" s="99"/>
      <c r="I59" s="99">
        <v>71</v>
      </c>
      <c r="J59" s="125">
        <v>72</v>
      </c>
      <c r="K59" s="131">
        <v>73</v>
      </c>
      <c r="L59" s="131">
        <v>74</v>
      </c>
      <c r="M59" s="131">
        <v>75</v>
      </c>
      <c r="N59" s="130">
        <v>76</v>
      </c>
      <c r="O59" s="130">
        <v>77</v>
      </c>
      <c r="P59" s="126">
        <v>78</v>
      </c>
      <c r="Q59" s="130">
        <v>79</v>
      </c>
      <c r="R59" s="130">
        <v>80</v>
      </c>
      <c r="S59" s="98"/>
      <c r="W59" s="122"/>
      <c r="X59" s="119" t="s">
        <v>37</v>
      </c>
      <c r="AB59" s="48">
        <v>3</v>
      </c>
      <c r="AC59" s="120">
        <v>-2</v>
      </c>
      <c r="AE59" s="131"/>
      <c r="AF59" s="131"/>
      <c r="AG59" s="131"/>
      <c r="AH59" s="137">
        <f>'Slot 12 - dose'!C32</f>
        <v>3.8239437550000002</v>
      </c>
      <c r="AI59" s="131"/>
      <c r="AJ59" s="131"/>
      <c r="AK59" s="131"/>
      <c r="AL59" s="130"/>
      <c r="AM59" s="130"/>
      <c r="AN59" s="136">
        <f>'Slot 12 - dose'!C30</f>
        <v>4.0410066740000001</v>
      </c>
      <c r="AO59" s="130"/>
      <c r="AP59" s="130"/>
      <c r="AQ59" s="130"/>
      <c r="AU59" s="122"/>
      <c r="AV59" s="119" t="s">
        <v>37</v>
      </c>
    </row>
    <row r="60" spans="3:48" ht="45" customHeight="1">
      <c r="D60" s="48">
        <v>2</v>
      </c>
      <c r="E60" s="120">
        <v>-3</v>
      </c>
      <c r="G60" s="58"/>
      <c r="H60" s="99"/>
      <c r="I60" s="99"/>
      <c r="J60" s="131">
        <v>84</v>
      </c>
      <c r="K60" s="131">
        <v>85</v>
      </c>
      <c r="L60" s="131">
        <v>86</v>
      </c>
      <c r="M60" s="131">
        <v>87</v>
      </c>
      <c r="N60" s="130">
        <v>88</v>
      </c>
      <c r="O60" s="130">
        <v>89</v>
      </c>
      <c r="P60" s="130">
        <v>90</v>
      </c>
      <c r="Q60" s="130">
        <v>91</v>
      </c>
      <c r="R60" s="130">
        <v>92</v>
      </c>
      <c r="W60" s="138" t="s">
        <v>38</v>
      </c>
      <c r="X60" s="119" t="s">
        <v>39</v>
      </c>
      <c r="AB60" s="48">
        <v>2</v>
      </c>
      <c r="AC60" s="120">
        <v>-3</v>
      </c>
      <c r="AE60" s="70"/>
      <c r="AF60" s="131"/>
      <c r="AG60" s="131"/>
      <c r="AH60" s="131"/>
      <c r="AI60" s="131"/>
      <c r="AJ60" s="131"/>
      <c r="AK60" s="131"/>
      <c r="AL60" s="130"/>
      <c r="AM60" s="130"/>
      <c r="AN60" s="130"/>
      <c r="AO60" s="130"/>
      <c r="AP60" s="130"/>
      <c r="AQ60" s="133"/>
    </row>
    <row r="61" spans="3:48" ht="45" customHeight="1">
      <c r="D61" s="48">
        <v>1</v>
      </c>
      <c r="E61" s="120">
        <v>-4</v>
      </c>
      <c r="G61" s="58"/>
      <c r="H61" s="58"/>
      <c r="I61" s="58"/>
      <c r="J61" s="99"/>
      <c r="K61" s="131"/>
      <c r="L61" s="131">
        <v>95</v>
      </c>
      <c r="M61" s="131">
        <v>96</v>
      </c>
      <c r="N61" s="130">
        <v>97</v>
      </c>
      <c r="O61" s="130">
        <v>98</v>
      </c>
      <c r="P61" s="130">
        <v>99</v>
      </c>
      <c r="Q61" s="70">
        <v>100</v>
      </c>
      <c r="R61" s="70"/>
      <c r="S61" s="58"/>
      <c r="AB61" s="48">
        <v>1</v>
      </c>
      <c r="AC61" s="120">
        <v>-4</v>
      </c>
      <c r="AE61" s="70"/>
      <c r="AF61" s="70"/>
      <c r="AG61" s="70"/>
      <c r="AH61" s="131"/>
      <c r="AI61" s="131"/>
      <c r="AJ61" s="131"/>
      <c r="AK61" s="131"/>
      <c r="AL61" s="130"/>
      <c r="AM61" s="130"/>
      <c r="AN61" s="130"/>
      <c r="AO61" s="70"/>
      <c r="AP61" s="70"/>
      <c r="AQ61" s="70"/>
    </row>
    <row r="62" spans="3:48" ht="45" customHeight="1">
      <c r="D62" s="48">
        <v>0</v>
      </c>
      <c r="E62" s="120">
        <v>-5</v>
      </c>
      <c r="AB62" s="48">
        <v>0</v>
      </c>
      <c r="AC62" s="120">
        <v>-5</v>
      </c>
    </row>
    <row r="65" spans="3:48" ht="45" customHeight="1">
      <c r="C65" s="139" t="s">
        <v>43</v>
      </c>
      <c r="AA65" s="139" t="s">
        <v>43</v>
      </c>
    </row>
    <row r="66" spans="3:48" ht="45" customHeight="1">
      <c r="F66" s="48">
        <v>0</v>
      </c>
      <c r="G66" s="48">
        <v>1</v>
      </c>
      <c r="H66" s="48">
        <v>2</v>
      </c>
      <c r="I66" s="48">
        <v>3</v>
      </c>
      <c r="J66" s="48">
        <v>4</v>
      </c>
      <c r="K66" s="48">
        <v>5</v>
      </c>
      <c r="L66" s="48">
        <v>6</v>
      </c>
      <c r="M66" s="48">
        <v>7</v>
      </c>
      <c r="N66" s="48">
        <v>8</v>
      </c>
      <c r="O66" s="48">
        <v>9</v>
      </c>
      <c r="P66" s="48">
        <v>10</v>
      </c>
      <c r="Q66" s="48">
        <v>11</v>
      </c>
      <c r="R66" s="48">
        <v>12</v>
      </c>
      <c r="S66" s="48">
        <v>13</v>
      </c>
      <c r="T66" s="48">
        <v>14</v>
      </c>
      <c r="AD66" s="48">
        <v>0</v>
      </c>
      <c r="AE66" s="48">
        <v>1</v>
      </c>
      <c r="AF66" s="48">
        <v>2</v>
      </c>
      <c r="AG66" s="48">
        <v>3</v>
      </c>
      <c r="AH66" s="48">
        <v>4</v>
      </c>
      <c r="AI66" s="48">
        <v>5</v>
      </c>
      <c r="AJ66" s="48">
        <v>6</v>
      </c>
      <c r="AK66" s="48">
        <v>7</v>
      </c>
      <c r="AL66" s="48">
        <v>8</v>
      </c>
      <c r="AM66" s="48">
        <v>9</v>
      </c>
      <c r="AN66" s="48">
        <v>10</v>
      </c>
      <c r="AO66" s="48">
        <v>11</v>
      </c>
      <c r="AP66" s="48">
        <v>12</v>
      </c>
      <c r="AQ66" s="48">
        <v>13</v>
      </c>
      <c r="AR66" s="48">
        <v>14</v>
      </c>
    </row>
    <row r="67" spans="3:48" ht="45" customHeight="1">
      <c r="F67" s="48">
        <v>-7</v>
      </c>
      <c r="G67" s="48">
        <v>-6</v>
      </c>
      <c r="H67" s="48">
        <v>-5</v>
      </c>
      <c r="I67" s="48">
        <v>-4</v>
      </c>
      <c r="J67" s="48">
        <v>-3</v>
      </c>
      <c r="K67" s="48">
        <v>-2</v>
      </c>
      <c r="L67" s="48">
        <v>-1</v>
      </c>
      <c r="M67" s="48">
        <v>0</v>
      </c>
      <c r="N67" s="48">
        <v>1</v>
      </c>
      <c r="O67" s="48">
        <v>2</v>
      </c>
      <c r="P67" s="48">
        <v>3</v>
      </c>
      <c r="Q67" s="48">
        <v>4</v>
      </c>
      <c r="R67" s="48">
        <v>5</v>
      </c>
      <c r="S67" s="48">
        <v>6</v>
      </c>
      <c r="T67" s="48">
        <v>7</v>
      </c>
      <c r="AD67" s="48">
        <v>-7</v>
      </c>
      <c r="AE67" s="48">
        <v>-6</v>
      </c>
      <c r="AF67" s="48">
        <v>-5</v>
      </c>
      <c r="AG67" s="48">
        <v>-4</v>
      </c>
      <c r="AH67" s="48">
        <v>-3</v>
      </c>
      <c r="AI67" s="48">
        <v>-2</v>
      </c>
      <c r="AJ67" s="48">
        <v>-1</v>
      </c>
      <c r="AK67" s="48">
        <v>0</v>
      </c>
      <c r="AL67" s="48">
        <v>1</v>
      </c>
      <c r="AM67" s="48">
        <v>2</v>
      </c>
      <c r="AN67" s="48">
        <v>3</v>
      </c>
      <c r="AO67" s="48">
        <v>4</v>
      </c>
      <c r="AP67" s="48">
        <v>5</v>
      </c>
      <c r="AQ67" s="48">
        <v>6</v>
      </c>
      <c r="AR67" s="48">
        <v>7</v>
      </c>
    </row>
    <row r="68" spans="3:48" ht="45" customHeight="1">
      <c r="D68" s="48">
        <v>10</v>
      </c>
      <c r="E68" s="120">
        <v>5</v>
      </c>
      <c r="AB68" s="48">
        <v>10</v>
      </c>
      <c r="AC68" s="120">
        <v>5</v>
      </c>
    </row>
    <row r="69" spans="3:48" ht="45" customHeight="1">
      <c r="D69" s="48">
        <v>9</v>
      </c>
      <c r="E69" s="120">
        <v>4</v>
      </c>
      <c r="G69" s="58"/>
      <c r="H69" s="58"/>
      <c r="I69" s="58"/>
      <c r="J69" s="85"/>
      <c r="K69" s="127"/>
      <c r="L69" s="127">
        <v>1</v>
      </c>
      <c r="M69" s="128">
        <v>2</v>
      </c>
      <c r="N69" s="128">
        <v>3</v>
      </c>
      <c r="O69" s="128">
        <v>4</v>
      </c>
      <c r="P69" s="128"/>
      <c r="Q69" s="70"/>
      <c r="R69" s="70"/>
      <c r="S69" s="58"/>
      <c r="AB69" s="48">
        <v>9</v>
      </c>
      <c r="AC69" s="120">
        <v>4</v>
      </c>
      <c r="AE69" s="70"/>
      <c r="AF69" s="70"/>
      <c r="AG69" s="70"/>
      <c r="AH69" s="127"/>
      <c r="AI69" s="127"/>
      <c r="AJ69" s="127"/>
      <c r="AK69" s="128"/>
      <c r="AL69" s="128"/>
      <c r="AM69" s="128"/>
      <c r="AN69" s="128"/>
      <c r="AO69" s="70"/>
      <c r="AP69" s="70"/>
      <c r="AQ69" s="70"/>
    </row>
    <row r="70" spans="3:48" ht="45" customHeight="1">
      <c r="D70" s="48">
        <v>8</v>
      </c>
      <c r="E70" s="120">
        <v>3</v>
      </c>
      <c r="G70" s="58"/>
      <c r="H70" s="85"/>
      <c r="I70" s="85"/>
      <c r="J70" s="127">
        <v>8</v>
      </c>
      <c r="K70" s="127">
        <v>9</v>
      </c>
      <c r="L70" s="123">
        <v>10</v>
      </c>
      <c r="M70" s="128">
        <v>11</v>
      </c>
      <c r="N70" s="128">
        <v>12</v>
      </c>
      <c r="O70" s="128">
        <v>13</v>
      </c>
      <c r="P70" s="128">
        <v>14</v>
      </c>
      <c r="Q70" s="128">
        <v>15</v>
      </c>
      <c r="R70" s="128">
        <v>16</v>
      </c>
      <c r="AB70" s="48">
        <v>8</v>
      </c>
      <c r="AC70" s="120">
        <v>3</v>
      </c>
      <c r="AE70" s="70"/>
      <c r="AF70" s="127"/>
      <c r="AG70" s="127"/>
      <c r="AH70" s="127"/>
      <c r="AI70" s="127"/>
      <c r="AJ70" s="134">
        <f>'Slot 15 - dose'!E5</f>
        <v>3.542798179</v>
      </c>
      <c r="AK70" s="128"/>
      <c r="AL70" s="128"/>
      <c r="AM70" s="128"/>
      <c r="AN70" s="128"/>
      <c r="AO70" s="128"/>
      <c r="AP70" s="128"/>
      <c r="AQ70" s="133"/>
    </row>
    <row r="71" spans="3:48" ht="45" customHeight="1">
      <c r="D71" s="48">
        <v>7</v>
      </c>
      <c r="E71" s="120">
        <v>2</v>
      </c>
      <c r="G71" s="85"/>
      <c r="H71" s="85"/>
      <c r="I71" s="85">
        <v>19</v>
      </c>
      <c r="J71" s="127">
        <v>20</v>
      </c>
      <c r="K71" s="127">
        <v>21</v>
      </c>
      <c r="L71" s="127">
        <v>22</v>
      </c>
      <c r="M71" s="128">
        <v>23</v>
      </c>
      <c r="N71" s="124">
        <v>24</v>
      </c>
      <c r="O71" s="128">
        <v>25</v>
      </c>
      <c r="P71" s="128">
        <v>26</v>
      </c>
      <c r="Q71" s="128">
        <v>27</v>
      </c>
      <c r="R71" s="128">
        <v>28</v>
      </c>
      <c r="S71" s="86"/>
      <c r="W71" s="86"/>
      <c r="X71" s="58" t="s">
        <v>33</v>
      </c>
      <c r="AB71" s="48">
        <v>7</v>
      </c>
      <c r="AC71" s="120">
        <v>2</v>
      </c>
      <c r="AE71" s="127"/>
      <c r="AF71" s="127"/>
      <c r="AG71" s="127"/>
      <c r="AH71" s="127"/>
      <c r="AI71" s="127"/>
      <c r="AJ71" s="127"/>
      <c r="AK71" s="128"/>
      <c r="AL71" s="135">
        <f>'Slot 15 - dose'!E6</f>
        <v>7.4253166569999998</v>
      </c>
      <c r="AM71" s="128"/>
      <c r="AN71" s="128"/>
      <c r="AO71" s="128"/>
      <c r="AP71" s="128"/>
      <c r="AQ71" s="128"/>
      <c r="AU71" s="86"/>
      <c r="AV71" s="58" t="s">
        <v>33</v>
      </c>
    </row>
    <row r="72" spans="3:48" ht="45" customHeight="1">
      <c r="D72" s="48">
        <v>6</v>
      </c>
      <c r="E72" s="120">
        <v>1</v>
      </c>
      <c r="G72" s="85"/>
      <c r="H72" s="85"/>
      <c r="I72" s="127">
        <v>32</v>
      </c>
      <c r="J72" s="127">
        <v>33</v>
      </c>
      <c r="K72" s="127">
        <v>34</v>
      </c>
      <c r="L72" s="127">
        <v>35</v>
      </c>
      <c r="M72" s="124">
        <v>36</v>
      </c>
      <c r="N72" s="128">
        <v>37</v>
      </c>
      <c r="O72" s="128">
        <v>38</v>
      </c>
      <c r="P72" s="124">
        <v>39</v>
      </c>
      <c r="Q72" s="128">
        <v>40</v>
      </c>
      <c r="R72" s="128">
        <v>41</v>
      </c>
      <c r="S72" s="86"/>
      <c r="W72" s="98"/>
      <c r="X72" s="58" t="s">
        <v>34</v>
      </c>
      <c r="AB72" s="48">
        <v>6</v>
      </c>
      <c r="AC72" s="120">
        <v>1</v>
      </c>
      <c r="AE72" s="127"/>
      <c r="AF72" s="127"/>
      <c r="AG72" s="127"/>
      <c r="AH72" s="127"/>
      <c r="AI72" s="127"/>
      <c r="AJ72" s="127"/>
      <c r="AK72" s="128"/>
      <c r="AL72" s="128"/>
      <c r="AM72" s="128"/>
      <c r="AN72" s="135">
        <f>'Slot 15 - dose'!E8</f>
        <v>7.2038043270000003</v>
      </c>
      <c r="AO72" s="128"/>
      <c r="AP72" s="128"/>
      <c r="AQ72" s="128"/>
      <c r="AU72" s="98"/>
      <c r="AV72" s="58" t="s">
        <v>34</v>
      </c>
    </row>
    <row r="73" spans="3:48" ht="45" customHeight="1">
      <c r="D73" s="48">
        <v>5</v>
      </c>
      <c r="E73" s="120">
        <v>0</v>
      </c>
      <c r="G73" s="85"/>
      <c r="H73" s="85"/>
      <c r="I73" s="123">
        <v>45</v>
      </c>
      <c r="J73" s="127">
        <v>46</v>
      </c>
      <c r="K73" s="127">
        <v>47</v>
      </c>
      <c r="L73" s="123">
        <v>48</v>
      </c>
      <c r="M73" s="129">
        <v>49</v>
      </c>
      <c r="N73" s="130">
        <v>50</v>
      </c>
      <c r="O73" s="126">
        <v>51</v>
      </c>
      <c r="P73" s="130">
        <v>52</v>
      </c>
      <c r="Q73" s="130">
        <v>53</v>
      </c>
      <c r="R73" s="126">
        <v>54</v>
      </c>
      <c r="S73" s="98"/>
      <c r="W73" s="99"/>
      <c r="X73" s="58" t="s">
        <v>35</v>
      </c>
      <c r="AB73" s="48">
        <v>5</v>
      </c>
      <c r="AC73" s="120">
        <v>0</v>
      </c>
      <c r="AE73" s="127"/>
      <c r="AF73" s="127"/>
      <c r="AG73" s="134">
        <f>'Slot 15 - dose'!E9</f>
        <v>3.277446173</v>
      </c>
      <c r="AH73" s="127"/>
      <c r="AI73" s="127"/>
      <c r="AJ73" s="134">
        <f>'Slot 15 - dose'!E10</f>
        <v>6.1933853069999998</v>
      </c>
      <c r="AK73" s="129"/>
      <c r="AL73" s="130"/>
      <c r="AM73" s="136">
        <f>'Slot 15 - dose'!E11</f>
        <v>7.7869171870000002</v>
      </c>
      <c r="AN73" s="130"/>
      <c r="AO73" s="130"/>
      <c r="AP73" s="136">
        <f>'Slot 15 - dose'!E12</f>
        <v>6.2923482249999996</v>
      </c>
      <c r="AQ73" s="130"/>
      <c r="AU73" s="99"/>
      <c r="AV73" s="58" t="s">
        <v>35</v>
      </c>
    </row>
    <row r="74" spans="3:48" ht="45" customHeight="1">
      <c r="D74" s="48">
        <v>4</v>
      </c>
      <c r="E74" s="120">
        <v>-1</v>
      </c>
      <c r="G74" s="99"/>
      <c r="H74" s="99"/>
      <c r="I74" s="131">
        <v>58</v>
      </c>
      <c r="J74" s="131">
        <v>59</v>
      </c>
      <c r="K74" s="131">
        <v>60</v>
      </c>
      <c r="L74" s="131">
        <v>61</v>
      </c>
      <c r="M74" s="131">
        <v>62</v>
      </c>
      <c r="N74" s="126">
        <v>63</v>
      </c>
      <c r="O74" s="130">
        <v>64</v>
      </c>
      <c r="P74" s="130">
        <v>65</v>
      </c>
      <c r="Q74" s="130">
        <v>66</v>
      </c>
      <c r="R74" s="130">
        <v>67</v>
      </c>
      <c r="S74" s="98"/>
      <c r="W74" s="85"/>
      <c r="X74" s="58" t="s">
        <v>36</v>
      </c>
      <c r="AB74" s="48">
        <v>4</v>
      </c>
      <c r="AC74" s="120">
        <v>-1</v>
      </c>
      <c r="AE74" s="131"/>
      <c r="AF74" s="131"/>
      <c r="AG74" s="131"/>
      <c r="AH74" s="131"/>
      <c r="AI74" s="131"/>
      <c r="AJ74" s="131"/>
      <c r="AK74" s="131"/>
      <c r="AL74" s="136">
        <f>'Slot 15 - dose'!E13</f>
        <v>7.2757575760000002</v>
      </c>
      <c r="AM74" s="130"/>
      <c r="AN74" s="130"/>
      <c r="AO74" s="130"/>
      <c r="AP74" s="130"/>
      <c r="AQ74" s="130"/>
      <c r="AU74" s="85"/>
      <c r="AV74" s="58" t="s">
        <v>36</v>
      </c>
    </row>
    <row r="75" spans="3:48" ht="45" customHeight="1">
      <c r="D75" s="48">
        <v>3</v>
      </c>
      <c r="E75" s="120">
        <v>-2</v>
      </c>
      <c r="G75" s="99"/>
      <c r="H75" s="99"/>
      <c r="I75" s="99">
        <v>71</v>
      </c>
      <c r="J75" s="125">
        <v>72</v>
      </c>
      <c r="K75" s="131">
        <v>73</v>
      </c>
      <c r="L75" s="131">
        <v>74</v>
      </c>
      <c r="M75" s="131">
        <v>75</v>
      </c>
      <c r="N75" s="130">
        <v>76</v>
      </c>
      <c r="O75" s="130">
        <v>77</v>
      </c>
      <c r="P75" s="126">
        <v>78</v>
      </c>
      <c r="Q75" s="130">
        <v>79</v>
      </c>
      <c r="R75" s="130">
        <v>80</v>
      </c>
      <c r="S75" s="98"/>
      <c r="W75" s="122"/>
      <c r="X75" s="119" t="s">
        <v>37</v>
      </c>
      <c r="AB75" s="48">
        <v>3</v>
      </c>
      <c r="AC75" s="120">
        <v>-2</v>
      </c>
      <c r="AE75" s="131"/>
      <c r="AF75" s="131"/>
      <c r="AG75" s="131"/>
      <c r="AH75" s="137">
        <f>'Slot 15 - dose'!E14</f>
        <v>4.1770587890000002</v>
      </c>
      <c r="AI75" s="131"/>
      <c r="AJ75" s="131"/>
      <c r="AK75" s="131"/>
      <c r="AL75" s="130"/>
      <c r="AM75" s="130"/>
      <c r="AN75" s="136">
        <f>'Slot 15 - dose'!E15</f>
        <v>5.2635111600000002</v>
      </c>
      <c r="AO75" s="130"/>
      <c r="AP75" s="130"/>
      <c r="AQ75" s="130"/>
      <c r="AU75" s="122"/>
      <c r="AV75" s="119" t="s">
        <v>37</v>
      </c>
    </row>
    <row r="76" spans="3:48" ht="45" customHeight="1">
      <c r="D76" s="48">
        <v>2</v>
      </c>
      <c r="E76" s="120">
        <v>-3</v>
      </c>
      <c r="G76" s="58"/>
      <c r="H76" s="99"/>
      <c r="I76" s="99"/>
      <c r="J76" s="131">
        <v>84</v>
      </c>
      <c r="K76" s="131">
        <v>85</v>
      </c>
      <c r="L76" s="131">
        <v>86</v>
      </c>
      <c r="M76" s="131">
        <v>87</v>
      </c>
      <c r="N76" s="130">
        <v>88</v>
      </c>
      <c r="O76" s="130">
        <v>89</v>
      </c>
      <c r="P76" s="130">
        <v>90</v>
      </c>
      <c r="Q76" s="130">
        <v>91</v>
      </c>
      <c r="R76" s="130">
        <v>92</v>
      </c>
      <c r="W76" s="138" t="s">
        <v>38</v>
      </c>
      <c r="X76" s="119" t="s">
        <v>39</v>
      </c>
      <c r="AB76" s="48">
        <v>2</v>
      </c>
      <c r="AC76" s="120">
        <v>-3</v>
      </c>
      <c r="AE76" s="70"/>
      <c r="AF76" s="131"/>
      <c r="AG76" s="131"/>
      <c r="AH76" s="131"/>
      <c r="AI76" s="131"/>
      <c r="AJ76" s="131"/>
      <c r="AK76" s="131"/>
      <c r="AL76" s="130"/>
      <c r="AM76" s="130"/>
      <c r="AN76" s="130"/>
      <c r="AO76" s="130"/>
      <c r="AP76" s="130"/>
      <c r="AQ76" s="133"/>
    </row>
    <row r="77" spans="3:48" ht="45" customHeight="1">
      <c r="D77" s="48">
        <v>1</v>
      </c>
      <c r="E77" s="120">
        <v>-4</v>
      </c>
      <c r="G77" s="58"/>
      <c r="H77" s="58"/>
      <c r="I77" s="58"/>
      <c r="J77" s="99"/>
      <c r="K77" s="131"/>
      <c r="L77" s="131">
        <v>95</v>
      </c>
      <c r="M77" s="131">
        <v>96</v>
      </c>
      <c r="N77" s="130">
        <v>97</v>
      </c>
      <c r="O77" s="130">
        <v>98</v>
      </c>
      <c r="P77" s="130">
        <v>99</v>
      </c>
      <c r="Q77" s="70">
        <v>100</v>
      </c>
      <c r="R77" s="70"/>
      <c r="S77" s="58"/>
      <c r="AB77" s="48">
        <v>1</v>
      </c>
      <c r="AC77" s="120">
        <v>-4</v>
      </c>
      <c r="AE77" s="70"/>
      <c r="AF77" s="70"/>
      <c r="AG77" s="70"/>
      <c r="AH77" s="131"/>
      <c r="AI77" s="131"/>
      <c r="AJ77" s="131"/>
      <c r="AK77" s="131"/>
      <c r="AL77" s="130"/>
      <c r="AM77" s="130"/>
      <c r="AN77" s="130"/>
      <c r="AO77" s="70"/>
      <c r="AP77" s="70"/>
      <c r="AQ77" s="70"/>
    </row>
    <row r="78" spans="3:48" ht="45" customHeight="1">
      <c r="D78" s="48">
        <v>0</v>
      </c>
      <c r="E78" s="120">
        <v>-5</v>
      </c>
      <c r="AB78" s="48">
        <v>0</v>
      </c>
      <c r="AC78" s="120">
        <v>-5</v>
      </c>
    </row>
    <row r="81" spans="3:48" ht="45" customHeight="1">
      <c r="C81" s="139" t="s">
        <v>44</v>
      </c>
      <c r="AA81" s="139" t="s">
        <v>44</v>
      </c>
    </row>
    <row r="82" spans="3:48" ht="45" customHeight="1">
      <c r="F82" s="48">
        <v>0</v>
      </c>
      <c r="G82" s="48">
        <v>1</v>
      </c>
      <c r="H82" s="48">
        <v>2</v>
      </c>
      <c r="I82" s="48">
        <v>3</v>
      </c>
      <c r="J82" s="48">
        <v>4</v>
      </c>
      <c r="K82" s="48">
        <v>5</v>
      </c>
      <c r="L82" s="48">
        <v>6</v>
      </c>
      <c r="M82" s="48">
        <v>7</v>
      </c>
      <c r="N82" s="48">
        <v>8</v>
      </c>
      <c r="O82" s="48">
        <v>9</v>
      </c>
      <c r="P82" s="48">
        <v>10</v>
      </c>
      <c r="Q82" s="48">
        <v>11</v>
      </c>
      <c r="R82" s="48">
        <v>12</v>
      </c>
      <c r="S82" s="48">
        <v>13</v>
      </c>
      <c r="T82" s="48">
        <v>14</v>
      </c>
      <c r="AD82" s="48">
        <v>0</v>
      </c>
      <c r="AE82" s="48">
        <v>1</v>
      </c>
      <c r="AF82" s="48">
        <v>2</v>
      </c>
      <c r="AG82" s="48">
        <v>3</v>
      </c>
      <c r="AH82" s="48">
        <v>4</v>
      </c>
      <c r="AI82" s="48">
        <v>5</v>
      </c>
      <c r="AJ82" s="48">
        <v>6</v>
      </c>
      <c r="AK82" s="48">
        <v>7</v>
      </c>
      <c r="AL82" s="48">
        <v>8</v>
      </c>
      <c r="AM82" s="48">
        <v>9</v>
      </c>
      <c r="AN82" s="48">
        <v>10</v>
      </c>
      <c r="AO82" s="48">
        <v>11</v>
      </c>
      <c r="AP82" s="48">
        <v>12</v>
      </c>
      <c r="AQ82" s="48">
        <v>13</v>
      </c>
      <c r="AR82" s="48">
        <v>14</v>
      </c>
    </row>
    <row r="83" spans="3:48" ht="45" customHeight="1">
      <c r="F83" s="48">
        <v>-7</v>
      </c>
      <c r="G83" s="48">
        <v>-6</v>
      </c>
      <c r="H83" s="48">
        <v>-5</v>
      </c>
      <c r="I83" s="48">
        <v>-4</v>
      </c>
      <c r="J83" s="48">
        <v>-3</v>
      </c>
      <c r="K83" s="48">
        <v>-2</v>
      </c>
      <c r="L83" s="48">
        <v>-1</v>
      </c>
      <c r="M83" s="48">
        <v>0</v>
      </c>
      <c r="N83" s="48">
        <v>1</v>
      </c>
      <c r="O83" s="48">
        <v>2</v>
      </c>
      <c r="P83" s="48">
        <v>3</v>
      </c>
      <c r="Q83" s="48">
        <v>4</v>
      </c>
      <c r="R83" s="48">
        <v>5</v>
      </c>
      <c r="S83" s="48">
        <v>6</v>
      </c>
      <c r="T83" s="48">
        <v>7</v>
      </c>
      <c r="AD83" s="48">
        <v>-7</v>
      </c>
      <c r="AE83" s="48">
        <v>-6</v>
      </c>
      <c r="AF83" s="48">
        <v>-5</v>
      </c>
      <c r="AG83" s="48">
        <v>-4</v>
      </c>
      <c r="AH83" s="48">
        <v>-3</v>
      </c>
      <c r="AI83" s="48">
        <v>-2</v>
      </c>
      <c r="AJ83" s="48">
        <v>-1</v>
      </c>
      <c r="AK83" s="48">
        <v>0</v>
      </c>
      <c r="AL83" s="48">
        <v>1</v>
      </c>
      <c r="AM83" s="48">
        <v>2</v>
      </c>
      <c r="AN83" s="48">
        <v>3</v>
      </c>
      <c r="AO83" s="48">
        <v>4</v>
      </c>
      <c r="AP83" s="48">
        <v>5</v>
      </c>
      <c r="AQ83" s="48">
        <v>6</v>
      </c>
      <c r="AR83" s="48">
        <v>7</v>
      </c>
    </row>
    <row r="84" spans="3:48" ht="45" customHeight="1">
      <c r="D84" s="48">
        <v>10</v>
      </c>
      <c r="E84" s="120">
        <v>5</v>
      </c>
      <c r="AB84" s="48">
        <v>10</v>
      </c>
      <c r="AC84" s="120">
        <v>5</v>
      </c>
    </row>
    <row r="85" spans="3:48" ht="45" customHeight="1">
      <c r="D85" s="48">
        <v>9</v>
      </c>
      <c r="E85" s="120">
        <v>4</v>
      </c>
      <c r="G85" s="58"/>
      <c r="H85" s="58"/>
      <c r="I85" s="58"/>
      <c r="J85" s="85"/>
      <c r="K85" s="85"/>
      <c r="L85" s="85">
        <v>1</v>
      </c>
      <c r="M85" s="86">
        <v>2</v>
      </c>
      <c r="N85" s="86">
        <v>3</v>
      </c>
      <c r="O85" s="86">
        <v>4</v>
      </c>
      <c r="P85" s="86"/>
      <c r="Q85" s="58"/>
      <c r="R85" s="58"/>
      <c r="S85" s="58"/>
      <c r="AB85" s="48">
        <v>9</v>
      </c>
      <c r="AC85" s="120">
        <v>4</v>
      </c>
      <c r="AE85" s="70"/>
      <c r="AF85" s="70"/>
      <c r="AG85" s="70"/>
      <c r="AH85" s="127"/>
      <c r="AI85" s="127"/>
      <c r="AJ85" s="127"/>
      <c r="AK85" s="128"/>
      <c r="AL85" s="128"/>
      <c r="AM85" s="128"/>
      <c r="AN85" s="128"/>
      <c r="AO85" s="70"/>
      <c r="AP85" s="70"/>
      <c r="AQ85" s="70"/>
    </row>
    <row r="86" spans="3:48" ht="45" customHeight="1">
      <c r="D86" s="48">
        <v>8</v>
      </c>
      <c r="E86" s="120">
        <v>3</v>
      </c>
      <c r="G86" s="58"/>
      <c r="H86" s="85"/>
      <c r="I86" s="85"/>
      <c r="J86" s="123">
        <v>8</v>
      </c>
      <c r="K86" s="85">
        <v>9</v>
      </c>
      <c r="L86" s="85">
        <v>10</v>
      </c>
      <c r="M86" s="86">
        <v>11</v>
      </c>
      <c r="N86" s="124">
        <v>12</v>
      </c>
      <c r="O86" s="86">
        <v>13</v>
      </c>
      <c r="P86" s="86">
        <v>14</v>
      </c>
      <c r="Q86" s="86">
        <v>15</v>
      </c>
      <c r="R86" s="124">
        <v>16</v>
      </c>
      <c r="AB86" s="48">
        <v>8</v>
      </c>
      <c r="AC86" s="120">
        <v>3</v>
      </c>
      <c r="AE86" s="70"/>
      <c r="AF86" s="127"/>
      <c r="AG86" s="127"/>
      <c r="AH86" s="134">
        <f>'Slot 16 - dose'!C37</f>
        <v>4.1715901871778902</v>
      </c>
      <c r="AI86" s="127"/>
      <c r="AJ86" s="134"/>
      <c r="AK86" s="128"/>
      <c r="AL86" s="135">
        <f>'Slot 16 - dose'!C23</f>
        <v>3.9908181301583792</v>
      </c>
      <c r="AM86" s="128"/>
      <c r="AN86" s="128"/>
      <c r="AO86" s="128"/>
      <c r="AP86" s="135">
        <f>'Slot 16 - dose'!C24</f>
        <v>4.1715901871778902</v>
      </c>
      <c r="AQ86" s="133"/>
    </row>
    <row r="87" spans="3:48" ht="45" customHeight="1">
      <c r="D87" s="48">
        <v>7</v>
      </c>
      <c r="E87" s="120">
        <v>2</v>
      </c>
      <c r="G87" s="85"/>
      <c r="H87" s="85"/>
      <c r="I87" s="85">
        <v>19</v>
      </c>
      <c r="J87" s="85">
        <v>20</v>
      </c>
      <c r="K87" s="85">
        <v>21</v>
      </c>
      <c r="L87" s="85">
        <v>22</v>
      </c>
      <c r="M87" s="86">
        <v>23</v>
      </c>
      <c r="N87" s="86">
        <v>24</v>
      </c>
      <c r="O87" s="86">
        <v>25</v>
      </c>
      <c r="P87" s="86">
        <v>26</v>
      </c>
      <c r="Q87" s="86">
        <v>27</v>
      </c>
      <c r="R87" s="86">
        <v>28</v>
      </c>
      <c r="S87" s="86"/>
      <c r="W87" s="86"/>
      <c r="X87" s="58" t="s">
        <v>33</v>
      </c>
      <c r="AB87" s="48">
        <v>7</v>
      </c>
      <c r="AC87" s="120">
        <v>2</v>
      </c>
      <c r="AE87" s="127"/>
      <c r="AF87" s="127"/>
      <c r="AG87" s="127"/>
      <c r="AH87" s="127"/>
      <c r="AI87" s="127"/>
      <c r="AJ87" s="127"/>
      <c r="AK87" s="128"/>
      <c r="AL87" s="135"/>
      <c r="AM87" s="128"/>
      <c r="AN87" s="128"/>
      <c r="AO87" s="128"/>
      <c r="AP87" s="128"/>
      <c r="AQ87" s="128"/>
      <c r="AU87" s="86"/>
      <c r="AV87" s="58" t="s">
        <v>33</v>
      </c>
    </row>
    <row r="88" spans="3:48" ht="45" customHeight="1">
      <c r="D88" s="48">
        <v>6</v>
      </c>
      <c r="E88" s="120">
        <v>1</v>
      </c>
      <c r="G88" s="85"/>
      <c r="H88" s="85"/>
      <c r="I88" s="85">
        <v>32</v>
      </c>
      <c r="J88" s="123">
        <v>33</v>
      </c>
      <c r="K88" s="85">
        <v>34</v>
      </c>
      <c r="L88" s="123">
        <v>35</v>
      </c>
      <c r="M88" s="86">
        <v>36</v>
      </c>
      <c r="N88" s="124">
        <v>37</v>
      </c>
      <c r="O88" s="86">
        <v>38</v>
      </c>
      <c r="P88" s="86">
        <v>39</v>
      </c>
      <c r="Q88" s="86">
        <v>40</v>
      </c>
      <c r="R88" s="124">
        <v>41</v>
      </c>
      <c r="S88" s="86"/>
      <c r="W88" s="98"/>
      <c r="X88" s="58" t="s">
        <v>34</v>
      </c>
      <c r="AB88" s="48">
        <v>6</v>
      </c>
      <c r="AC88" s="120">
        <v>1</v>
      </c>
      <c r="AE88" s="127"/>
      <c r="AF88" s="127"/>
      <c r="AG88" s="127"/>
      <c r="AH88" s="134">
        <f>'Slot 16 - dose'!C38</f>
        <v>4.4122907302052754</v>
      </c>
      <c r="AI88" s="127"/>
      <c r="AJ88" s="134">
        <f>'Slot 16 - dose'!C39</f>
        <v>4.3408061541861214</v>
      </c>
      <c r="AK88" s="128"/>
      <c r="AL88" s="135">
        <f>'Slot 16 - dose'!C25</f>
        <v>5.0957503147651835</v>
      </c>
      <c r="AM88" s="128"/>
      <c r="AN88" s="135"/>
      <c r="AO88" s="128"/>
      <c r="AP88" s="135">
        <f>'Slot 16 - dose'!C26</f>
        <v>4.7250512506870326</v>
      </c>
      <c r="AQ88" s="128"/>
      <c r="AU88" s="98"/>
      <c r="AV88" s="58" t="s">
        <v>34</v>
      </c>
    </row>
    <row r="89" spans="3:48" ht="45" customHeight="1">
      <c r="D89" s="48">
        <v>5</v>
      </c>
      <c r="E89" s="120">
        <v>0</v>
      </c>
      <c r="G89" s="85"/>
      <c r="H89" s="85"/>
      <c r="I89" s="85">
        <v>45</v>
      </c>
      <c r="J89" s="85">
        <v>46</v>
      </c>
      <c r="K89" s="85">
        <v>47</v>
      </c>
      <c r="L89" s="85">
        <v>48</v>
      </c>
      <c r="M89" s="121">
        <v>49</v>
      </c>
      <c r="N89" s="98">
        <v>50</v>
      </c>
      <c r="O89" s="98">
        <v>51</v>
      </c>
      <c r="P89" s="98">
        <v>52</v>
      </c>
      <c r="Q89" s="98">
        <v>53</v>
      </c>
      <c r="R89" s="98">
        <v>54</v>
      </c>
      <c r="S89" s="98"/>
      <c r="W89" s="99"/>
      <c r="X89" s="58" t="s">
        <v>35</v>
      </c>
      <c r="AB89" s="48">
        <v>5</v>
      </c>
      <c r="AC89" s="120">
        <v>0</v>
      </c>
      <c r="AE89" s="127"/>
      <c r="AF89" s="127"/>
      <c r="AG89" s="134"/>
      <c r="AH89" s="127"/>
      <c r="AI89" s="127"/>
      <c r="AJ89" s="134"/>
      <c r="AK89" s="129"/>
      <c r="AL89" s="130"/>
      <c r="AM89" s="136"/>
      <c r="AN89" s="130"/>
      <c r="AO89" s="130"/>
      <c r="AP89" s="136"/>
      <c r="AQ89" s="130"/>
      <c r="AU89" s="99"/>
      <c r="AV89" s="58" t="s">
        <v>35</v>
      </c>
    </row>
    <row r="90" spans="3:48" ht="45" customHeight="1">
      <c r="D90" s="48">
        <v>4</v>
      </c>
      <c r="E90" s="120">
        <v>-1</v>
      </c>
      <c r="G90" s="99"/>
      <c r="H90" s="99"/>
      <c r="I90" s="99">
        <v>58</v>
      </c>
      <c r="J90" s="125">
        <v>59</v>
      </c>
      <c r="K90" s="99">
        <v>60</v>
      </c>
      <c r="L90" s="125">
        <v>61</v>
      </c>
      <c r="M90" s="99">
        <v>62</v>
      </c>
      <c r="N90" s="126">
        <v>63</v>
      </c>
      <c r="O90" s="98">
        <v>64</v>
      </c>
      <c r="P90" s="126">
        <v>65</v>
      </c>
      <c r="Q90" s="98">
        <v>66</v>
      </c>
      <c r="R90" s="126">
        <v>67</v>
      </c>
      <c r="S90" s="98"/>
      <c r="W90" s="85"/>
      <c r="X90" s="58" t="s">
        <v>36</v>
      </c>
      <c r="AB90" s="48">
        <v>4</v>
      </c>
      <c r="AC90" s="120">
        <v>-1</v>
      </c>
      <c r="AE90" s="131"/>
      <c r="AF90" s="131"/>
      <c r="AG90" s="131"/>
      <c r="AH90" s="137">
        <f>'Slot 16 - dose'!C33</f>
        <v>4.8603507741858758</v>
      </c>
      <c r="AI90" s="131"/>
      <c r="AJ90" s="137">
        <f>'Slot 16 - dose'!C34</f>
        <v>4.9682207958799998</v>
      </c>
      <c r="AK90" s="131"/>
      <c r="AL90" s="136">
        <f>'Slot 16 - dose'!C28</f>
        <v>4.8243280065766152</v>
      </c>
      <c r="AM90" s="130"/>
      <c r="AN90" s="130"/>
      <c r="AO90" s="130"/>
      <c r="AP90" s="136">
        <f>'Slot 16 - dose'!C29</f>
        <v>4.1038373403563586</v>
      </c>
      <c r="AQ90" s="130"/>
      <c r="AU90" s="85"/>
      <c r="AV90" s="58" t="s">
        <v>36</v>
      </c>
    </row>
    <row r="91" spans="3:48" ht="45" customHeight="1">
      <c r="D91" s="48">
        <v>3</v>
      </c>
      <c r="E91" s="120">
        <v>-2</v>
      </c>
      <c r="G91" s="99"/>
      <c r="H91" s="99"/>
      <c r="I91" s="99">
        <v>71</v>
      </c>
      <c r="J91" s="99">
        <v>72</v>
      </c>
      <c r="K91" s="99">
        <v>73</v>
      </c>
      <c r="L91" s="99">
        <v>74</v>
      </c>
      <c r="M91" s="99">
        <v>75</v>
      </c>
      <c r="N91" s="98">
        <v>76</v>
      </c>
      <c r="O91" s="98">
        <v>77</v>
      </c>
      <c r="P91" s="98">
        <v>78</v>
      </c>
      <c r="Q91" s="98">
        <v>79</v>
      </c>
      <c r="R91" s="98">
        <v>80</v>
      </c>
      <c r="S91" s="98"/>
      <c r="W91" s="122"/>
      <c r="X91" s="119" t="s">
        <v>37</v>
      </c>
      <c r="AB91" s="48">
        <v>3</v>
      </c>
      <c r="AC91" s="120">
        <v>-2</v>
      </c>
      <c r="AE91" s="131"/>
      <c r="AF91" s="131"/>
      <c r="AG91" s="131"/>
      <c r="AH91" s="137"/>
      <c r="AI91" s="131"/>
      <c r="AJ91" s="131"/>
      <c r="AK91" s="131"/>
      <c r="AL91" s="130"/>
      <c r="AM91" s="130"/>
      <c r="AN91" s="136"/>
      <c r="AO91" s="130"/>
      <c r="AP91" s="130"/>
      <c r="AQ91" s="130"/>
      <c r="AU91" s="122"/>
      <c r="AV91" s="119" t="s">
        <v>37</v>
      </c>
    </row>
    <row r="92" spans="3:48" ht="45" customHeight="1">
      <c r="D92" s="48">
        <v>2</v>
      </c>
      <c r="E92" s="120">
        <v>-3</v>
      </c>
      <c r="G92" s="58"/>
      <c r="H92" s="99"/>
      <c r="I92" s="99"/>
      <c r="J92" s="125">
        <v>84</v>
      </c>
      <c r="K92" s="99">
        <v>85</v>
      </c>
      <c r="L92" s="99">
        <v>86</v>
      </c>
      <c r="M92" s="99">
        <v>87</v>
      </c>
      <c r="N92" s="126">
        <v>88</v>
      </c>
      <c r="O92" s="98">
        <v>89</v>
      </c>
      <c r="P92" s="98">
        <v>90</v>
      </c>
      <c r="Q92" s="98">
        <v>91</v>
      </c>
      <c r="R92" s="126">
        <v>92</v>
      </c>
      <c r="W92" s="138" t="s">
        <v>38</v>
      </c>
      <c r="X92" s="119" t="s">
        <v>39</v>
      </c>
      <c r="AB92" s="48">
        <v>2</v>
      </c>
      <c r="AC92" s="120">
        <v>-3</v>
      </c>
      <c r="AE92" s="70"/>
      <c r="AF92" s="131"/>
      <c r="AG92" s="131"/>
      <c r="AH92" s="137">
        <f>'Slot 16 - dose'!C35</f>
        <v>4.0153259383042244</v>
      </c>
      <c r="AI92" s="131"/>
      <c r="AJ92" s="131"/>
      <c r="AK92" s="131"/>
      <c r="AL92" s="136">
        <f>'Slot 16 - dose'!C30</f>
        <v>4.0451670107815128</v>
      </c>
      <c r="AM92" s="130"/>
      <c r="AN92" s="130"/>
      <c r="AO92" s="130"/>
      <c r="AP92" s="136">
        <f>'Slot 16 - dose'!C31</f>
        <v>5.100705862728562</v>
      </c>
      <c r="AQ92" s="133"/>
    </row>
    <row r="93" spans="3:48" ht="45" customHeight="1">
      <c r="D93" s="48">
        <v>1</v>
      </c>
      <c r="E93" s="120">
        <v>-4</v>
      </c>
      <c r="G93" s="58"/>
      <c r="H93" s="58"/>
      <c r="I93" s="58"/>
      <c r="J93" s="99"/>
      <c r="K93" s="99"/>
      <c r="L93" s="99">
        <v>95</v>
      </c>
      <c r="M93" s="99">
        <v>96</v>
      </c>
      <c r="N93" s="98">
        <v>97</v>
      </c>
      <c r="O93" s="98">
        <v>98</v>
      </c>
      <c r="P93" s="98"/>
      <c r="Q93" s="58"/>
      <c r="R93" s="58"/>
      <c r="S93" s="58"/>
      <c r="AB93" s="48">
        <v>1</v>
      </c>
      <c r="AC93" s="120">
        <v>-4</v>
      </c>
      <c r="AE93" s="70"/>
      <c r="AF93" s="70"/>
      <c r="AG93" s="70"/>
      <c r="AH93" s="131"/>
      <c r="AI93" s="131"/>
      <c r="AJ93" s="131"/>
      <c r="AK93" s="131"/>
      <c r="AL93" s="130"/>
      <c r="AM93" s="130"/>
      <c r="AN93" s="130"/>
      <c r="AO93" s="70"/>
      <c r="AP93" s="70"/>
      <c r="AQ93" s="70"/>
    </row>
    <row r="94" spans="3:48" ht="45" customHeight="1">
      <c r="D94" s="48">
        <v>0</v>
      </c>
      <c r="E94" s="120">
        <v>-5</v>
      </c>
      <c r="AB94" s="48">
        <v>0</v>
      </c>
      <c r="AC94" s="120">
        <v>-5</v>
      </c>
    </row>
    <row r="97" spans="3:48" ht="45" customHeight="1">
      <c r="C97" s="139" t="s">
        <v>45</v>
      </c>
      <c r="AA97" s="139" t="s">
        <v>45</v>
      </c>
    </row>
    <row r="98" spans="3:48" ht="45" customHeight="1">
      <c r="F98" s="48">
        <v>0</v>
      </c>
      <c r="G98" s="48">
        <v>1</v>
      </c>
      <c r="H98" s="48">
        <v>2</v>
      </c>
      <c r="I98" s="48">
        <v>3</v>
      </c>
      <c r="J98" s="48">
        <v>4</v>
      </c>
      <c r="K98" s="48">
        <v>5</v>
      </c>
      <c r="L98" s="48">
        <v>6</v>
      </c>
      <c r="M98" s="48">
        <v>7</v>
      </c>
      <c r="N98" s="48">
        <v>8</v>
      </c>
      <c r="O98" s="48">
        <v>9</v>
      </c>
      <c r="P98" s="48">
        <v>10</v>
      </c>
      <c r="Q98" s="48">
        <v>11</v>
      </c>
      <c r="R98" s="48">
        <v>12</v>
      </c>
      <c r="S98" s="48">
        <v>13</v>
      </c>
      <c r="T98" s="48">
        <v>14</v>
      </c>
      <c r="AD98" s="48">
        <v>0</v>
      </c>
      <c r="AE98" s="48">
        <v>1</v>
      </c>
      <c r="AF98" s="48">
        <v>2</v>
      </c>
      <c r="AG98" s="48">
        <v>3</v>
      </c>
      <c r="AH98" s="48">
        <v>4</v>
      </c>
      <c r="AI98" s="48">
        <v>5</v>
      </c>
      <c r="AJ98" s="48">
        <v>6</v>
      </c>
      <c r="AK98" s="48">
        <v>7</v>
      </c>
      <c r="AL98" s="48">
        <v>8</v>
      </c>
      <c r="AM98" s="48">
        <v>9</v>
      </c>
      <c r="AN98" s="48">
        <v>10</v>
      </c>
      <c r="AO98" s="48">
        <v>11</v>
      </c>
      <c r="AP98" s="48">
        <v>12</v>
      </c>
      <c r="AQ98" s="48">
        <v>13</v>
      </c>
      <c r="AR98" s="48">
        <v>14</v>
      </c>
    </row>
    <row r="99" spans="3:48" ht="45" customHeight="1">
      <c r="F99" s="48">
        <v>-7</v>
      </c>
      <c r="G99" s="48">
        <v>-6</v>
      </c>
      <c r="H99" s="48">
        <v>-5</v>
      </c>
      <c r="I99" s="48">
        <v>-4</v>
      </c>
      <c r="J99" s="48">
        <v>-3</v>
      </c>
      <c r="K99" s="48">
        <v>-2</v>
      </c>
      <c r="L99" s="48">
        <v>-1</v>
      </c>
      <c r="M99" s="48">
        <v>0</v>
      </c>
      <c r="N99" s="48">
        <v>1</v>
      </c>
      <c r="O99" s="48">
        <v>2</v>
      </c>
      <c r="P99" s="48">
        <v>3</v>
      </c>
      <c r="Q99" s="48">
        <v>4</v>
      </c>
      <c r="R99" s="48">
        <v>5</v>
      </c>
      <c r="S99" s="48">
        <v>6</v>
      </c>
      <c r="T99" s="48">
        <v>7</v>
      </c>
      <c r="AD99" s="48">
        <v>-7</v>
      </c>
      <c r="AE99" s="48">
        <v>-6</v>
      </c>
      <c r="AF99" s="48">
        <v>-5</v>
      </c>
      <c r="AG99" s="48">
        <v>-4</v>
      </c>
      <c r="AH99" s="48">
        <v>-3</v>
      </c>
      <c r="AI99" s="48">
        <v>-2</v>
      </c>
      <c r="AJ99" s="48">
        <v>-1</v>
      </c>
      <c r="AK99" s="48">
        <v>0</v>
      </c>
      <c r="AL99" s="48">
        <v>1</v>
      </c>
      <c r="AM99" s="48">
        <v>2</v>
      </c>
      <c r="AN99" s="48">
        <v>3</v>
      </c>
      <c r="AO99" s="48">
        <v>4</v>
      </c>
      <c r="AP99" s="48">
        <v>5</v>
      </c>
      <c r="AQ99" s="48">
        <v>6</v>
      </c>
      <c r="AR99" s="48">
        <v>7</v>
      </c>
    </row>
    <row r="100" spans="3:48" ht="45" customHeight="1">
      <c r="D100" s="48">
        <v>10</v>
      </c>
      <c r="E100" s="120">
        <v>5</v>
      </c>
      <c r="AB100" s="48">
        <v>10</v>
      </c>
      <c r="AC100" s="120">
        <v>5</v>
      </c>
    </row>
    <row r="101" spans="3:48" ht="45" customHeight="1">
      <c r="D101" s="48">
        <v>9</v>
      </c>
      <c r="E101" s="120">
        <v>4</v>
      </c>
      <c r="G101" s="58"/>
      <c r="H101" s="58"/>
      <c r="I101" s="58"/>
      <c r="J101" s="85"/>
      <c r="K101" s="85"/>
      <c r="L101" s="85">
        <v>1</v>
      </c>
      <c r="M101" s="86">
        <v>2</v>
      </c>
      <c r="N101" s="86">
        <v>3</v>
      </c>
      <c r="O101" s="86">
        <v>4</v>
      </c>
      <c r="P101" s="86"/>
      <c r="Q101" s="58"/>
      <c r="R101" s="58"/>
      <c r="S101" s="58"/>
      <c r="AB101" s="48">
        <v>9</v>
      </c>
      <c r="AC101" s="120">
        <v>4</v>
      </c>
      <c r="AE101" s="70"/>
      <c r="AF101" s="70"/>
      <c r="AG101" s="70"/>
      <c r="AH101" s="127"/>
      <c r="AI101" s="127"/>
      <c r="AJ101" s="127"/>
      <c r="AK101" s="128"/>
      <c r="AL101" s="128"/>
      <c r="AM101" s="128"/>
      <c r="AN101" s="128"/>
      <c r="AO101" s="70"/>
      <c r="AP101" s="70"/>
      <c r="AQ101" s="70"/>
    </row>
    <row r="102" spans="3:48" ht="45" customHeight="1">
      <c r="D102" s="48">
        <v>8</v>
      </c>
      <c r="E102" s="120">
        <v>3</v>
      </c>
      <c r="G102" s="58"/>
      <c r="H102" s="85"/>
      <c r="I102" s="85"/>
      <c r="J102" s="123">
        <v>8</v>
      </c>
      <c r="K102" s="85">
        <v>9</v>
      </c>
      <c r="L102" s="85">
        <v>10</v>
      </c>
      <c r="M102" s="86">
        <v>11</v>
      </c>
      <c r="N102" s="124">
        <v>12</v>
      </c>
      <c r="O102" s="86">
        <v>13</v>
      </c>
      <c r="P102" s="86">
        <v>14</v>
      </c>
      <c r="Q102" s="86">
        <v>15</v>
      </c>
      <c r="R102" s="124">
        <v>16</v>
      </c>
      <c r="AB102" s="48">
        <v>8</v>
      </c>
      <c r="AC102" s="120">
        <v>3</v>
      </c>
      <c r="AE102" s="70"/>
      <c r="AF102" s="127"/>
      <c r="AG102" s="127"/>
      <c r="AH102" s="134">
        <f>'Slot 9 - dose'!C37</f>
        <v>5.0745800173394997</v>
      </c>
      <c r="AI102" s="127"/>
      <c r="AJ102" s="134"/>
      <c r="AK102" s="128"/>
      <c r="AL102" s="135">
        <f>'Slot 9 - dose'!C23</f>
        <v>6.5335165462808442</v>
      </c>
      <c r="AM102" s="128"/>
      <c r="AN102" s="128"/>
      <c r="AO102" s="128"/>
      <c r="AP102" s="135">
        <f>'Slot 9 - dose'!C24</f>
        <v>6.467029375441844</v>
      </c>
      <c r="AQ102" s="133"/>
    </row>
    <row r="103" spans="3:48" ht="45" customHeight="1">
      <c r="D103" s="48">
        <v>7</v>
      </c>
      <c r="E103" s="120">
        <v>2</v>
      </c>
      <c r="G103" s="85"/>
      <c r="H103" s="85"/>
      <c r="I103" s="85">
        <v>19</v>
      </c>
      <c r="J103" s="85">
        <v>20</v>
      </c>
      <c r="K103" s="85">
        <v>21</v>
      </c>
      <c r="L103" s="85">
        <v>22</v>
      </c>
      <c r="M103" s="86">
        <v>23</v>
      </c>
      <c r="N103" s="86">
        <v>24</v>
      </c>
      <c r="O103" s="86">
        <v>25</v>
      </c>
      <c r="P103" s="86">
        <v>26</v>
      </c>
      <c r="Q103" s="86">
        <v>27</v>
      </c>
      <c r="R103" s="86">
        <v>28</v>
      </c>
      <c r="S103" s="86"/>
      <c r="W103" s="86"/>
      <c r="X103" s="58" t="s">
        <v>33</v>
      </c>
      <c r="AB103" s="48">
        <v>7</v>
      </c>
      <c r="AC103" s="120">
        <v>2</v>
      </c>
      <c r="AE103" s="127"/>
      <c r="AF103" s="127"/>
      <c r="AG103" s="127"/>
      <c r="AH103" s="127"/>
      <c r="AI103" s="127"/>
      <c r="AJ103" s="127"/>
      <c r="AK103" s="128"/>
      <c r="AL103" s="135"/>
      <c r="AM103" s="128"/>
      <c r="AN103" s="128"/>
      <c r="AO103" s="128"/>
      <c r="AP103" s="128"/>
      <c r="AQ103" s="128"/>
      <c r="AU103" s="86"/>
      <c r="AV103" s="58" t="s">
        <v>33</v>
      </c>
    </row>
    <row r="104" spans="3:48" ht="45" customHeight="1">
      <c r="D104" s="48">
        <v>6</v>
      </c>
      <c r="E104" s="120">
        <v>1</v>
      </c>
      <c r="G104" s="85"/>
      <c r="H104" s="85"/>
      <c r="I104" s="85">
        <v>32</v>
      </c>
      <c r="J104" s="123">
        <v>33</v>
      </c>
      <c r="K104" s="85">
        <v>34</v>
      </c>
      <c r="L104" s="123">
        <v>35</v>
      </c>
      <c r="M104" s="86">
        <v>36</v>
      </c>
      <c r="N104" s="124">
        <v>37</v>
      </c>
      <c r="O104" s="86">
        <v>38</v>
      </c>
      <c r="P104" s="86">
        <v>39</v>
      </c>
      <c r="Q104" s="86">
        <v>40</v>
      </c>
      <c r="R104" s="124">
        <v>41</v>
      </c>
      <c r="S104" s="86"/>
      <c r="W104" s="98"/>
      <c r="X104" s="58" t="s">
        <v>34</v>
      </c>
      <c r="AB104" s="48">
        <v>6</v>
      </c>
      <c r="AC104" s="120">
        <v>1</v>
      </c>
      <c r="AE104" s="127"/>
      <c r="AF104" s="127"/>
      <c r="AG104" s="127"/>
      <c r="AH104" s="134">
        <f>'Slot 9 - dose'!C38</f>
        <v>5.4699513825770865</v>
      </c>
      <c r="AI104" s="127"/>
      <c r="AJ104" s="134">
        <f>'Slot 9 - dose'!C39</f>
        <v>8.1883549087764216</v>
      </c>
      <c r="AK104" s="128"/>
      <c r="AL104" s="135">
        <f>'Slot 9 - dose'!C25</f>
        <v>8.2590304403912658</v>
      </c>
      <c r="AM104" s="128"/>
      <c r="AN104" s="135"/>
      <c r="AO104" s="128"/>
      <c r="AP104" s="135">
        <f>'Slot 9 - dose'!C26</f>
        <v>5.6527211105731308</v>
      </c>
      <c r="AQ104" s="128"/>
      <c r="AU104" s="98"/>
      <c r="AV104" s="58" t="s">
        <v>34</v>
      </c>
    </row>
    <row r="105" spans="3:48" ht="45" customHeight="1">
      <c r="D105" s="48">
        <v>5</v>
      </c>
      <c r="E105" s="120">
        <v>0</v>
      </c>
      <c r="G105" s="85"/>
      <c r="H105" s="85"/>
      <c r="I105" s="85">
        <v>45</v>
      </c>
      <c r="J105" s="85">
        <v>46</v>
      </c>
      <c r="K105" s="85">
        <v>47</v>
      </c>
      <c r="L105" s="85">
        <v>48</v>
      </c>
      <c r="M105" s="121">
        <v>49</v>
      </c>
      <c r="N105" s="98">
        <v>50</v>
      </c>
      <c r="O105" s="98">
        <v>51</v>
      </c>
      <c r="P105" s="98">
        <v>52</v>
      </c>
      <c r="Q105" s="98">
        <v>53</v>
      </c>
      <c r="R105" s="98">
        <v>54</v>
      </c>
      <c r="S105" s="98"/>
      <c r="W105" s="99"/>
      <c r="X105" s="58" t="s">
        <v>35</v>
      </c>
      <c r="AB105" s="48">
        <v>5</v>
      </c>
      <c r="AC105" s="120">
        <v>0</v>
      </c>
      <c r="AE105" s="127"/>
      <c r="AF105" s="127"/>
      <c r="AG105" s="134"/>
      <c r="AH105" s="127"/>
      <c r="AI105" s="127"/>
      <c r="AJ105" s="134"/>
      <c r="AK105" s="129"/>
      <c r="AL105" s="130"/>
      <c r="AM105" s="136"/>
      <c r="AN105" s="130"/>
      <c r="AO105" s="130"/>
      <c r="AP105" s="136"/>
      <c r="AQ105" s="130"/>
      <c r="AU105" s="99"/>
      <c r="AV105" s="58" t="s">
        <v>35</v>
      </c>
    </row>
    <row r="106" spans="3:48" ht="45" customHeight="1">
      <c r="D106" s="48">
        <v>4</v>
      </c>
      <c r="E106" s="120">
        <v>-1</v>
      </c>
      <c r="G106" s="99"/>
      <c r="H106" s="99"/>
      <c r="I106" s="99">
        <v>58</v>
      </c>
      <c r="J106" s="125">
        <v>59</v>
      </c>
      <c r="K106" s="99">
        <v>60</v>
      </c>
      <c r="L106" s="125">
        <v>61</v>
      </c>
      <c r="M106" s="99">
        <v>62</v>
      </c>
      <c r="N106" s="126">
        <v>63</v>
      </c>
      <c r="O106" s="98">
        <v>64</v>
      </c>
      <c r="P106" s="130">
        <v>65</v>
      </c>
      <c r="Q106" s="98">
        <v>66</v>
      </c>
      <c r="R106" s="126">
        <v>67</v>
      </c>
      <c r="S106" s="98"/>
      <c r="W106" s="85"/>
      <c r="X106" s="58" t="s">
        <v>36</v>
      </c>
      <c r="AB106" s="48">
        <v>4</v>
      </c>
      <c r="AC106" s="120">
        <v>-1</v>
      </c>
      <c r="AE106" s="131"/>
      <c r="AF106" s="131"/>
      <c r="AG106" s="131"/>
      <c r="AH106" s="137">
        <f>'Slot 9 - dose'!C33</f>
        <v>5.8341519577335088</v>
      </c>
      <c r="AI106" s="131"/>
      <c r="AJ106" s="137">
        <f>'Slot 9 - dose'!C34</f>
        <v>6.3076849626992262</v>
      </c>
      <c r="AK106" s="131"/>
      <c r="AL106" s="136">
        <f>'Slot 9 - dose'!C28</f>
        <v>6.7060731548409453</v>
      </c>
      <c r="AM106" s="130"/>
      <c r="AN106" s="130"/>
      <c r="AO106" s="130"/>
      <c r="AP106" s="136">
        <f>'Slot 9 - dose'!C29</f>
        <v>5.0219386149203906</v>
      </c>
      <c r="AQ106" s="130"/>
      <c r="AU106" s="85"/>
      <c r="AV106" s="58" t="s">
        <v>36</v>
      </c>
    </row>
    <row r="107" spans="3:48" ht="45" customHeight="1">
      <c r="D107" s="48">
        <v>3</v>
      </c>
      <c r="E107" s="120">
        <v>-2</v>
      </c>
      <c r="G107" s="99"/>
      <c r="H107" s="99"/>
      <c r="I107" s="99">
        <v>71</v>
      </c>
      <c r="J107" s="99">
        <v>72</v>
      </c>
      <c r="K107" s="99">
        <v>73</v>
      </c>
      <c r="L107" s="99">
        <v>74</v>
      </c>
      <c r="M107" s="99">
        <v>75</v>
      </c>
      <c r="N107" s="98">
        <v>76</v>
      </c>
      <c r="O107" s="98">
        <v>77</v>
      </c>
      <c r="P107" s="98">
        <v>78</v>
      </c>
      <c r="Q107" s="98">
        <v>79</v>
      </c>
      <c r="R107" s="98">
        <v>80</v>
      </c>
      <c r="S107" s="98"/>
      <c r="W107" s="122"/>
      <c r="X107" s="119" t="s">
        <v>37</v>
      </c>
      <c r="AB107" s="48">
        <v>3</v>
      </c>
      <c r="AC107" s="120">
        <v>-2</v>
      </c>
      <c r="AE107" s="131"/>
      <c r="AF107" s="131"/>
      <c r="AG107" s="131"/>
      <c r="AH107" s="137"/>
      <c r="AI107" s="131"/>
      <c r="AJ107" s="131"/>
      <c r="AK107" s="131"/>
      <c r="AL107" s="130"/>
      <c r="AM107" s="130"/>
      <c r="AN107" s="136"/>
      <c r="AO107" s="130"/>
      <c r="AP107" s="130"/>
      <c r="AQ107" s="130"/>
      <c r="AU107" s="122"/>
      <c r="AV107" s="119" t="s">
        <v>37</v>
      </c>
    </row>
    <row r="108" spans="3:48" ht="45" customHeight="1">
      <c r="D108" s="48">
        <v>2</v>
      </c>
      <c r="E108" s="120">
        <v>-3</v>
      </c>
      <c r="G108" s="58"/>
      <c r="H108" s="99"/>
      <c r="I108" s="99"/>
      <c r="J108" s="125">
        <v>84</v>
      </c>
      <c r="K108" s="99">
        <v>85</v>
      </c>
      <c r="L108" s="99">
        <v>86</v>
      </c>
      <c r="M108" s="99">
        <v>87</v>
      </c>
      <c r="N108" s="126">
        <v>88</v>
      </c>
      <c r="O108" s="98">
        <v>89</v>
      </c>
      <c r="P108" s="98">
        <v>90</v>
      </c>
      <c r="Q108" s="98">
        <v>91</v>
      </c>
      <c r="R108" s="126">
        <v>92</v>
      </c>
      <c r="W108" s="138" t="s">
        <v>38</v>
      </c>
      <c r="X108" s="119" t="s">
        <v>39</v>
      </c>
      <c r="AB108" s="48">
        <v>2</v>
      </c>
      <c r="AC108" s="120">
        <v>-3</v>
      </c>
      <c r="AE108" s="70"/>
      <c r="AF108" s="131"/>
      <c r="AG108" s="131"/>
      <c r="AH108" s="137">
        <f>'Slot 9 - dose'!C35</f>
        <v>5.4878183473794229</v>
      </c>
      <c r="AI108" s="131"/>
      <c r="AJ108" s="131"/>
      <c r="AK108" s="131"/>
      <c r="AL108" s="136">
        <f>'Slot 9 - dose'!C30</f>
        <v>5.7520253261754108</v>
      </c>
      <c r="AM108" s="130"/>
      <c r="AN108" s="130"/>
      <c r="AO108" s="130"/>
      <c r="AP108" s="136"/>
      <c r="AQ108" s="133"/>
    </row>
    <row r="109" spans="3:48" ht="45" customHeight="1">
      <c r="D109" s="48">
        <v>1</v>
      </c>
      <c r="E109" s="120">
        <v>-4</v>
      </c>
      <c r="G109" s="58"/>
      <c r="H109" s="58"/>
      <c r="I109" s="58"/>
      <c r="J109" s="99"/>
      <c r="K109" s="99"/>
      <c r="L109" s="99">
        <v>95</v>
      </c>
      <c r="M109" s="99">
        <v>96</v>
      </c>
      <c r="N109" s="98">
        <v>97</v>
      </c>
      <c r="O109" s="98">
        <v>98</v>
      </c>
      <c r="P109" s="98"/>
      <c r="Q109" s="58"/>
      <c r="R109" s="58"/>
      <c r="S109" s="58"/>
      <c r="AB109" s="48">
        <v>1</v>
      </c>
      <c r="AC109" s="120">
        <v>-4</v>
      </c>
      <c r="AE109" s="70"/>
      <c r="AF109" s="70"/>
      <c r="AG109" s="70"/>
      <c r="AH109" s="131"/>
      <c r="AI109" s="131"/>
      <c r="AJ109" s="131"/>
      <c r="AK109" s="131"/>
      <c r="AL109" s="130"/>
      <c r="AM109" s="130"/>
      <c r="AN109" s="130"/>
      <c r="AO109" s="70"/>
      <c r="AP109" s="70"/>
      <c r="AQ109" s="70"/>
    </row>
    <row r="110" spans="3:48" ht="45" customHeight="1">
      <c r="D110" s="48">
        <v>0</v>
      </c>
      <c r="E110" s="120">
        <v>-5</v>
      </c>
      <c r="AB110" s="48">
        <v>0</v>
      </c>
      <c r="AC110" s="120">
        <v>-5</v>
      </c>
    </row>
  </sheetData>
  <conditionalFormatting sqref="AE5:AQ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:AQ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7:AQ4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3:AQ6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9:AQ7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5:AQ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1:AQ10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9FF8-DFDB-440C-B5C9-C07F36EECDC4}">
  <dimension ref="C1:DC30"/>
  <sheetViews>
    <sheetView topLeftCell="AX11" zoomScale="70" zoomScaleNormal="70" workbookViewId="0">
      <selection activeCell="DA24" sqref="DA24"/>
    </sheetView>
    <sheetView workbookViewId="1"/>
  </sheetViews>
  <sheetFormatPr defaultColWidth="6.7109375" defaultRowHeight="45" customHeight="1"/>
  <cols>
    <col min="45" max="45" width="10.5703125" customWidth="1"/>
  </cols>
  <sheetData>
    <row r="1" spans="3:107" ht="45" customHeight="1">
      <c r="S1" t="s">
        <v>46</v>
      </c>
      <c r="W1" s="35" t="s">
        <v>47</v>
      </c>
      <c r="Y1" s="36" t="s">
        <v>48</v>
      </c>
    </row>
    <row r="2" spans="3:107" ht="45" customHeight="1">
      <c r="C2" s="37"/>
      <c r="D2" s="37"/>
      <c r="E2" s="37"/>
      <c r="F2" s="38">
        <v>1</v>
      </c>
      <c r="G2" s="38">
        <v>2</v>
      </c>
      <c r="H2" s="38">
        <v>3</v>
      </c>
      <c r="I2" s="38">
        <v>4</v>
      </c>
      <c r="J2" s="38">
        <v>5</v>
      </c>
      <c r="K2" s="38">
        <v>6</v>
      </c>
      <c r="L2" s="38">
        <v>7</v>
      </c>
      <c r="M2" s="37"/>
      <c r="N2" s="37"/>
      <c r="O2" s="37"/>
      <c r="W2" s="37"/>
      <c r="X2" s="37"/>
      <c r="Y2" s="37"/>
      <c r="Z2" s="38"/>
      <c r="AA2" s="39"/>
      <c r="AB2" s="38"/>
      <c r="AC2" s="38"/>
      <c r="AD2" s="38"/>
      <c r="AE2" s="39"/>
      <c r="AF2" s="38"/>
      <c r="AG2" s="37"/>
      <c r="AH2" s="37"/>
      <c r="AI2" s="37"/>
      <c r="AL2" s="37"/>
      <c r="AM2" s="37"/>
      <c r="AN2" s="37"/>
      <c r="AO2" s="38">
        <v>1</v>
      </c>
      <c r="AP2" s="46">
        <v>2</v>
      </c>
      <c r="AQ2" s="38">
        <v>3</v>
      </c>
      <c r="AR2" s="38">
        <v>4</v>
      </c>
      <c r="AS2" s="38">
        <v>5</v>
      </c>
      <c r="AT2" s="46">
        <v>6</v>
      </c>
      <c r="AU2" s="38">
        <v>7</v>
      </c>
      <c r="AV2" s="37"/>
      <c r="AW2" s="37"/>
      <c r="AX2" s="37"/>
    </row>
    <row r="3" spans="3:107" ht="45" customHeight="1">
      <c r="C3" s="37"/>
      <c r="D3" s="38">
        <v>8</v>
      </c>
      <c r="E3" s="38">
        <v>9</v>
      </c>
      <c r="F3" s="38">
        <v>10</v>
      </c>
      <c r="G3" s="38">
        <v>11</v>
      </c>
      <c r="H3" s="38">
        <v>12</v>
      </c>
      <c r="I3" s="38">
        <v>13</v>
      </c>
      <c r="J3" s="38">
        <v>14</v>
      </c>
      <c r="K3" s="38">
        <v>15</v>
      </c>
      <c r="L3" s="38">
        <v>16</v>
      </c>
      <c r="M3" s="38">
        <v>17</v>
      </c>
      <c r="N3" s="38">
        <v>18</v>
      </c>
      <c r="O3" s="37"/>
      <c r="W3" s="37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7"/>
      <c r="AL3" s="37"/>
      <c r="AM3" s="38">
        <v>8</v>
      </c>
      <c r="AN3" s="38">
        <v>9</v>
      </c>
      <c r="AO3" s="38">
        <v>10</v>
      </c>
      <c r="AP3" s="38">
        <v>11</v>
      </c>
      <c r="AQ3" s="38">
        <v>12</v>
      </c>
      <c r="AR3" s="38">
        <v>13</v>
      </c>
      <c r="AS3" s="38">
        <v>14</v>
      </c>
      <c r="AT3" s="38">
        <v>15</v>
      </c>
      <c r="AU3" s="38">
        <v>16</v>
      </c>
      <c r="AV3" s="38">
        <v>17</v>
      </c>
      <c r="AW3" s="38">
        <v>18</v>
      </c>
      <c r="AX3" s="37"/>
    </row>
    <row r="4" spans="3:107" ht="45" customHeight="1">
      <c r="C4" s="38">
        <v>19</v>
      </c>
      <c r="D4" s="38">
        <v>20</v>
      </c>
      <c r="E4" s="38">
        <v>21</v>
      </c>
      <c r="F4" s="38">
        <v>22</v>
      </c>
      <c r="G4" s="38">
        <v>23</v>
      </c>
      <c r="H4" s="38">
        <v>24</v>
      </c>
      <c r="I4" s="38">
        <v>25</v>
      </c>
      <c r="J4" s="38">
        <v>26</v>
      </c>
      <c r="K4" s="38">
        <v>27</v>
      </c>
      <c r="L4" s="38">
        <v>28</v>
      </c>
      <c r="M4" s="38">
        <v>29</v>
      </c>
      <c r="N4" s="38">
        <v>30</v>
      </c>
      <c r="O4" s="38">
        <v>31</v>
      </c>
      <c r="W4" s="38"/>
      <c r="X4" s="38"/>
      <c r="Y4" s="38"/>
      <c r="Z4" s="38"/>
      <c r="AA4" s="39"/>
      <c r="AB4" s="38"/>
      <c r="AC4" s="39"/>
      <c r="AD4" s="38"/>
      <c r="AE4" s="38"/>
      <c r="AF4" s="38"/>
      <c r="AG4" s="38"/>
      <c r="AH4" s="38"/>
      <c r="AI4" s="38"/>
      <c r="AL4" s="38">
        <v>19</v>
      </c>
      <c r="AM4" s="38">
        <v>20</v>
      </c>
      <c r="AN4" s="38">
        <v>21</v>
      </c>
      <c r="AO4" s="38">
        <v>22</v>
      </c>
      <c r="AP4" s="38">
        <v>23</v>
      </c>
      <c r="AQ4" s="38">
        <v>24</v>
      </c>
      <c r="AR4" s="46">
        <v>25</v>
      </c>
      <c r="AS4" s="38">
        <v>26</v>
      </c>
      <c r="AT4" s="38">
        <v>27</v>
      </c>
      <c r="AU4" s="38">
        <v>28</v>
      </c>
      <c r="AV4" s="38">
        <v>29</v>
      </c>
      <c r="AW4" s="38">
        <v>30</v>
      </c>
      <c r="AX4" s="38">
        <v>31</v>
      </c>
    </row>
    <row r="5" spans="3:107" ht="45" customHeight="1">
      <c r="C5" s="38">
        <v>32</v>
      </c>
      <c r="D5" s="38">
        <v>33</v>
      </c>
      <c r="E5" s="38">
        <v>34</v>
      </c>
      <c r="F5" s="38">
        <v>35</v>
      </c>
      <c r="G5" s="38">
        <v>36</v>
      </c>
      <c r="H5" s="38">
        <v>37</v>
      </c>
      <c r="I5" s="38">
        <v>38</v>
      </c>
      <c r="J5" s="38">
        <v>39</v>
      </c>
      <c r="K5" s="38">
        <v>40</v>
      </c>
      <c r="L5" s="38">
        <v>41</v>
      </c>
      <c r="M5" s="38">
        <v>42</v>
      </c>
      <c r="N5" s="38">
        <v>43</v>
      </c>
      <c r="O5" s="38">
        <v>44</v>
      </c>
      <c r="W5" s="38"/>
      <c r="X5" s="39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L5" s="38">
        <v>32</v>
      </c>
      <c r="AM5" s="46">
        <v>33</v>
      </c>
      <c r="AN5" s="38">
        <v>34</v>
      </c>
      <c r="AO5" s="38">
        <v>35</v>
      </c>
      <c r="AP5" s="38">
        <v>36</v>
      </c>
      <c r="AQ5" s="38">
        <v>37</v>
      </c>
      <c r="AR5" s="38">
        <v>38</v>
      </c>
      <c r="AS5" s="38">
        <v>39</v>
      </c>
      <c r="AT5" s="38">
        <v>40</v>
      </c>
      <c r="AU5" s="38">
        <v>41</v>
      </c>
      <c r="AV5" s="38">
        <v>42</v>
      </c>
      <c r="AW5" s="46">
        <v>43</v>
      </c>
      <c r="AX5" s="38">
        <v>44</v>
      </c>
    </row>
    <row r="6" spans="3:107" ht="45" customHeight="1">
      <c r="C6" s="38">
        <v>45</v>
      </c>
      <c r="D6" s="38">
        <v>46</v>
      </c>
      <c r="E6" s="38">
        <v>47</v>
      </c>
      <c r="F6" s="38">
        <v>48</v>
      </c>
      <c r="G6" s="38">
        <v>49</v>
      </c>
      <c r="H6" s="38">
        <v>50</v>
      </c>
      <c r="I6" s="38">
        <v>51</v>
      </c>
      <c r="J6" s="38">
        <v>52</v>
      </c>
      <c r="K6" s="38">
        <v>53</v>
      </c>
      <c r="L6" s="38">
        <v>54</v>
      </c>
      <c r="M6" s="38">
        <v>55</v>
      </c>
      <c r="N6" s="38">
        <v>56</v>
      </c>
      <c r="O6" s="38">
        <v>57</v>
      </c>
      <c r="W6" s="38"/>
      <c r="X6" s="38"/>
      <c r="Y6" s="38"/>
      <c r="Z6" s="39"/>
      <c r="AA6" s="79"/>
      <c r="AB6" s="39"/>
      <c r="AC6" s="39"/>
      <c r="AD6" s="39"/>
      <c r="AE6" s="39"/>
      <c r="AF6" s="38"/>
      <c r="AG6" s="38"/>
      <c r="AH6" s="38"/>
      <c r="AI6" s="38"/>
      <c r="AL6" s="38">
        <v>45</v>
      </c>
      <c r="AM6" s="38">
        <v>46</v>
      </c>
      <c r="AN6" s="38">
        <v>47</v>
      </c>
      <c r="AO6" s="38">
        <v>48</v>
      </c>
      <c r="AP6" s="46">
        <v>49</v>
      </c>
      <c r="AQ6" s="46">
        <v>50</v>
      </c>
      <c r="AR6" s="46">
        <v>51</v>
      </c>
      <c r="AS6" s="46">
        <v>52</v>
      </c>
      <c r="AT6" s="46">
        <v>53</v>
      </c>
      <c r="AU6" s="38">
        <v>54</v>
      </c>
      <c r="AV6" s="38">
        <v>55</v>
      </c>
      <c r="AW6" s="38">
        <v>56</v>
      </c>
      <c r="AX6" s="38">
        <v>57</v>
      </c>
    </row>
    <row r="7" spans="3:107" ht="45" customHeight="1">
      <c r="C7" s="38">
        <v>58</v>
      </c>
      <c r="D7" s="38">
        <v>59</v>
      </c>
      <c r="E7" s="38">
        <v>60</v>
      </c>
      <c r="F7" s="38">
        <v>61</v>
      </c>
      <c r="G7" s="38">
        <v>62</v>
      </c>
      <c r="H7" s="38">
        <v>63</v>
      </c>
      <c r="I7" s="38">
        <v>64</v>
      </c>
      <c r="J7" s="38">
        <v>65</v>
      </c>
      <c r="K7" s="38">
        <v>66</v>
      </c>
      <c r="L7" s="38">
        <v>67</v>
      </c>
      <c r="M7" s="38">
        <v>68</v>
      </c>
      <c r="N7" s="38">
        <v>69</v>
      </c>
      <c r="O7" s="38">
        <v>70</v>
      </c>
      <c r="W7" s="38"/>
      <c r="X7" s="39"/>
      <c r="Y7" s="38"/>
      <c r="Z7" s="38"/>
      <c r="AA7" s="39"/>
      <c r="AB7" s="39"/>
      <c r="AC7" s="39"/>
      <c r="AD7" s="39"/>
      <c r="AE7" s="39"/>
      <c r="AF7" s="38"/>
      <c r="AG7" s="38"/>
      <c r="AH7" s="39"/>
      <c r="AI7" s="38"/>
      <c r="AL7" s="38">
        <v>58</v>
      </c>
      <c r="AM7" s="46">
        <v>59</v>
      </c>
      <c r="AN7" s="38">
        <v>60</v>
      </c>
      <c r="AO7" s="38">
        <v>61</v>
      </c>
      <c r="AP7" s="46">
        <v>62</v>
      </c>
      <c r="AQ7" s="46">
        <v>63</v>
      </c>
      <c r="AR7" s="46">
        <v>64</v>
      </c>
      <c r="AS7" s="46">
        <v>65</v>
      </c>
      <c r="AT7" s="46">
        <v>66</v>
      </c>
      <c r="AU7" s="38">
        <v>67</v>
      </c>
      <c r="AV7" s="38">
        <v>68</v>
      </c>
      <c r="AW7" s="46">
        <v>69</v>
      </c>
      <c r="AX7" s="38">
        <v>70</v>
      </c>
    </row>
    <row r="8" spans="3:107" ht="45" customHeight="1">
      <c r="C8" s="38">
        <v>71</v>
      </c>
      <c r="D8" s="38">
        <v>72</v>
      </c>
      <c r="E8" s="38">
        <v>73</v>
      </c>
      <c r="F8" s="38">
        <v>74</v>
      </c>
      <c r="G8" s="38">
        <v>75</v>
      </c>
      <c r="H8" s="38">
        <v>76</v>
      </c>
      <c r="I8" s="38">
        <v>77</v>
      </c>
      <c r="J8" s="38">
        <v>78</v>
      </c>
      <c r="K8" s="38">
        <v>79</v>
      </c>
      <c r="L8" s="38">
        <v>80</v>
      </c>
      <c r="M8" s="38">
        <v>81</v>
      </c>
      <c r="N8" s="38">
        <v>82</v>
      </c>
      <c r="O8" s="38">
        <v>83</v>
      </c>
      <c r="W8" s="38"/>
      <c r="X8" s="38"/>
      <c r="Y8" s="38"/>
      <c r="Z8" s="38"/>
      <c r="AA8" s="38"/>
      <c r="AB8" s="38"/>
      <c r="AC8" s="39"/>
      <c r="AD8" s="38"/>
      <c r="AE8" s="38"/>
      <c r="AF8" s="38"/>
      <c r="AG8" s="38"/>
      <c r="AH8" s="38"/>
      <c r="AI8" s="38"/>
      <c r="AL8" s="38">
        <v>71</v>
      </c>
      <c r="AM8" s="38">
        <v>72</v>
      </c>
      <c r="AN8" s="38">
        <v>73</v>
      </c>
      <c r="AO8" s="38">
        <v>74</v>
      </c>
      <c r="AP8" s="38">
        <v>75</v>
      </c>
      <c r="AQ8" s="38">
        <v>76</v>
      </c>
      <c r="AR8" s="46">
        <v>77</v>
      </c>
      <c r="AS8" s="38">
        <v>78</v>
      </c>
      <c r="AT8" s="38">
        <v>79</v>
      </c>
      <c r="AU8" s="38">
        <v>80</v>
      </c>
      <c r="AV8" s="38">
        <v>81</v>
      </c>
      <c r="AW8" s="38">
        <v>82</v>
      </c>
      <c r="AX8" s="38">
        <v>83</v>
      </c>
    </row>
    <row r="9" spans="3:107" ht="45" customHeight="1">
      <c r="C9" s="37"/>
      <c r="D9" s="38">
        <v>84</v>
      </c>
      <c r="E9" s="38">
        <v>85</v>
      </c>
      <c r="F9" s="38">
        <v>86</v>
      </c>
      <c r="G9" s="38">
        <v>87</v>
      </c>
      <c r="H9" s="38">
        <v>88</v>
      </c>
      <c r="I9" s="38">
        <v>89</v>
      </c>
      <c r="J9" s="38">
        <v>90</v>
      </c>
      <c r="K9" s="38">
        <v>91</v>
      </c>
      <c r="L9" s="38">
        <v>92</v>
      </c>
      <c r="M9" s="38">
        <v>93</v>
      </c>
      <c r="N9" s="38">
        <v>94</v>
      </c>
      <c r="O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L9" s="37"/>
      <c r="AM9" s="38">
        <v>84</v>
      </c>
      <c r="AN9" s="38">
        <v>85</v>
      </c>
      <c r="AO9" s="38">
        <v>86</v>
      </c>
      <c r="AP9" s="38">
        <v>87</v>
      </c>
      <c r="AQ9" s="38">
        <v>88</v>
      </c>
      <c r="AR9" s="38">
        <v>89</v>
      </c>
      <c r="AS9" s="38">
        <v>90</v>
      </c>
      <c r="AT9" s="38">
        <v>91</v>
      </c>
      <c r="AU9" s="38">
        <v>92</v>
      </c>
      <c r="AV9" s="38">
        <v>93</v>
      </c>
      <c r="AW9" s="38">
        <v>94</v>
      </c>
      <c r="AX9" s="37"/>
    </row>
    <row r="10" spans="3:107" ht="45" customHeight="1">
      <c r="C10" s="37"/>
      <c r="D10" s="37"/>
      <c r="E10" s="37"/>
      <c r="F10" s="38">
        <v>95</v>
      </c>
      <c r="G10" s="38">
        <v>96</v>
      </c>
      <c r="H10" s="38">
        <v>97</v>
      </c>
      <c r="I10" s="38">
        <v>98</v>
      </c>
      <c r="J10" s="38">
        <v>99</v>
      </c>
      <c r="K10" s="38">
        <v>100</v>
      </c>
      <c r="L10" s="38">
        <v>101</v>
      </c>
      <c r="M10" s="37"/>
      <c r="N10" s="37"/>
      <c r="O10" s="37"/>
      <c r="W10" s="37"/>
      <c r="X10" s="37"/>
      <c r="Y10" s="37"/>
      <c r="Z10" s="38"/>
      <c r="AA10" s="39"/>
      <c r="AB10" s="38"/>
      <c r="AC10" s="38"/>
      <c r="AD10" s="38"/>
      <c r="AE10" s="39"/>
      <c r="AF10" s="38"/>
      <c r="AG10" s="37"/>
      <c r="AH10" s="37"/>
      <c r="AI10" s="37"/>
      <c r="AL10" s="37"/>
      <c r="AM10" s="37"/>
      <c r="AN10" s="37"/>
      <c r="AO10" s="38">
        <v>95</v>
      </c>
      <c r="AP10" s="46">
        <v>96</v>
      </c>
      <c r="AQ10" s="38">
        <v>97</v>
      </c>
      <c r="AR10" s="38">
        <v>98</v>
      </c>
      <c r="AS10" s="38">
        <v>99</v>
      </c>
      <c r="AT10" s="46">
        <v>100</v>
      </c>
      <c r="AU10" s="38">
        <v>101</v>
      </c>
      <c r="AV10" s="37"/>
      <c r="AW10" s="37"/>
      <c r="AX10" s="37"/>
    </row>
    <row r="13" spans="3:107" ht="45" customHeight="1">
      <c r="F13" s="80">
        <v>0</v>
      </c>
      <c r="G13" s="80">
        <v>1</v>
      </c>
      <c r="H13" s="80">
        <v>2</v>
      </c>
      <c r="I13" s="80">
        <v>3</v>
      </c>
      <c r="J13" s="80">
        <v>4</v>
      </c>
      <c r="K13" s="80">
        <v>5</v>
      </c>
      <c r="L13" s="80">
        <v>6</v>
      </c>
      <c r="M13" s="80">
        <v>7</v>
      </c>
      <c r="N13" s="80">
        <v>8</v>
      </c>
      <c r="O13" s="80">
        <v>9</v>
      </c>
      <c r="P13" s="80">
        <v>10</v>
      </c>
      <c r="Q13" s="80">
        <v>11</v>
      </c>
      <c r="R13" s="80">
        <v>12</v>
      </c>
      <c r="S13" s="80">
        <v>13</v>
      </c>
      <c r="T13" s="80">
        <v>14</v>
      </c>
      <c r="X13" s="80">
        <v>0</v>
      </c>
      <c r="Y13" s="80">
        <v>1</v>
      </c>
      <c r="Z13" s="80">
        <v>2</v>
      </c>
      <c r="AA13" s="80">
        <v>3</v>
      </c>
      <c r="AB13" s="80">
        <v>4</v>
      </c>
      <c r="AC13" s="80">
        <v>5</v>
      </c>
      <c r="AD13" s="80">
        <v>6</v>
      </c>
      <c r="AE13" s="80">
        <v>7</v>
      </c>
      <c r="AF13" s="80">
        <v>8</v>
      </c>
      <c r="AG13" s="80">
        <v>9</v>
      </c>
      <c r="AH13" s="80">
        <v>10</v>
      </c>
      <c r="AI13" s="80">
        <v>11</v>
      </c>
      <c r="AJ13" s="80">
        <v>12</v>
      </c>
      <c r="AK13" s="80">
        <v>13</v>
      </c>
      <c r="AL13" s="80">
        <v>14</v>
      </c>
      <c r="AV13" s="80">
        <v>0</v>
      </c>
      <c r="AW13" s="80">
        <v>1</v>
      </c>
      <c r="AX13" s="80">
        <v>2</v>
      </c>
      <c r="AY13" s="80">
        <v>3</v>
      </c>
      <c r="AZ13" s="80">
        <v>4</v>
      </c>
      <c r="BA13" s="80">
        <v>5</v>
      </c>
      <c r="BB13" s="80">
        <v>6</v>
      </c>
      <c r="BC13" s="80">
        <v>7</v>
      </c>
      <c r="BD13" s="80">
        <v>8</v>
      </c>
      <c r="BE13" s="80">
        <v>9</v>
      </c>
      <c r="BF13" s="80">
        <v>10</v>
      </c>
      <c r="BG13" s="80">
        <v>11</v>
      </c>
      <c r="BH13" s="80">
        <v>12</v>
      </c>
      <c r="BI13" s="80">
        <v>13</v>
      </c>
      <c r="BJ13" s="80">
        <v>14</v>
      </c>
      <c r="BS13" s="80">
        <v>0</v>
      </c>
      <c r="BT13" s="80">
        <v>1</v>
      </c>
      <c r="BU13" s="80">
        <v>2</v>
      </c>
      <c r="BV13" s="80">
        <v>3</v>
      </c>
      <c r="BW13" s="80">
        <v>4</v>
      </c>
      <c r="BX13" s="80">
        <v>5</v>
      </c>
      <c r="BY13" s="80">
        <v>6</v>
      </c>
      <c r="BZ13" s="80">
        <v>7</v>
      </c>
      <c r="CA13" s="80">
        <v>8</v>
      </c>
      <c r="CB13" s="80">
        <v>9</v>
      </c>
      <c r="CC13" s="80">
        <v>10</v>
      </c>
      <c r="CD13" s="80">
        <v>11</v>
      </c>
      <c r="CE13" s="80">
        <v>12</v>
      </c>
      <c r="CF13" s="80">
        <v>13</v>
      </c>
      <c r="CG13" s="80">
        <v>14</v>
      </c>
      <c r="CO13" s="80">
        <v>0</v>
      </c>
      <c r="CP13" s="80">
        <v>1</v>
      </c>
      <c r="CQ13" s="80">
        <v>2</v>
      </c>
      <c r="CR13" s="80">
        <v>3</v>
      </c>
      <c r="CS13" s="80">
        <v>4</v>
      </c>
      <c r="CT13" s="80">
        <v>5</v>
      </c>
      <c r="CU13" s="80">
        <v>6</v>
      </c>
      <c r="CV13" s="80">
        <v>7</v>
      </c>
      <c r="CW13" s="80">
        <v>8</v>
      </c>
      <c r="CX13" s="80">
        <v>9</v>
      </c>
      <c r="CY13" s="80">
        <v>10</v>
      </c>
      <c r="CZ13" s="80">
        <v>11</v>
      </c>
      <c r="DA13" s="80">
        <v>12</v>
      </c>
      <c r="DB13" s="80">
        <v>13</v>
      </c>
      <c r="DC13" s="80">
        <v>14</v>
      </c>
    </row>
    <row r="14" spans="3:107" ht="45" customHeight="1">
      <c r="F14" s="81">
        <v>-7</v>
      </c>
      <c r="G14" s="81">
        <v>-6</v>
      </c>
      <c r="H14" s="81">
        <v>-5</v>
      </c>
      <c r="I14" s="81">
        <v>-4</v>
      </c>
      <c r="J14" s="81">
        <v>-3</v>
      </c>
      <c r="K14" s="81">
        <v>-2</v>
      </c>
      <c r="L14" s="81">
        <v>-1</v>
      </c>
      <c r="M14" s="81">
        <v>0</v>
      </c>
      <c r="N14" s="81">
        <v>1</v>
      </c>
      <c r="O14" s="81">
        <v>2</v>
      </c>
      <c r="P14" s="81">
        <v>3</v>
      </c>
      <c r="Q14" s="81">
        <v>4</v>
      </c>
      <c r="R14" s="81">
        <v>5</v>
      </c>
      <c r="S14" s="81">
        <v>6</v>
      </c>
      <c r="T14" s="81">
        <v>7</v>
      </c>
      <c r="X14" s="81">
        <v>-7</v>
      </c>
      <c r="Y14" s="81">
        <v>-6</v>
      </c>
      <c r="Z14" s="81">
        <v>-5</v>
      </c>
      <c r="AA14" s="81">
        <v>-4</v>
      </c>
      <c r="AB14" s="81">
        <v>-3</v>
      </c>
      <c r="AC14" s="81">
        <v>-2</v>
      </c>
      <c r="AD14" s="81">
        <v>-1</v>
      </c>
      <c r="AE14" s="81">
        <v>0</v>
      </c>
      <c r="AF14" s="81">
        <v>1</v>
      </c>
      <c r="AG14" s="81">
        <v>2</v>
      </c>
      <c r="AH14" s="81">
        <v>3</v>
      </c>
      <c r="AI14" s="81">
        <v>4</v>
      </c>
      <c r="AJ14" s="81">
        <v>5</v>
      </c>
      <c r="AK14" s="81">
        <v>6</v>
      </c>
      <c r="AL14" s="81">
        <v>7</v>
      </c>
      <c r="AV14" s="81">
        <v>-7</v>
      </c>
      <c r="AW14" s="81">
        <v>-6</v>
      </c>
      <c r="AX14" s="81">
        <v>-5</v>
      </c>
      <c r="AY14" s="81">
        <v>-4</v>
      </c>
      <c r="AZ14" s="81">
        <v>-3</v>
      </c>
      <c r="BA14" s="81">
        <v>-2</v>
      </c>
      <c r="BB14" s="81">
        <v>-1</v>
      </c>
      <c r="BC14" s="81">
        <v>0</v>
      </c>
      <c r="BD14" s="81">
        <v>1</v>
      </c>
      <c r="BE14" s="81">
        <v>2</v>
      </c>
      <c r="BF14" s="81">
        <v>3</v>
      </c>
      <c r="BG14" s="81">
        <v>4</v>
      </c>
      <c r="BH14" s="81">
        <v>5</v>
      </c>
      <c r="BI14" s="81">
        <v>6</v>
      </c>
      <c r="BJ14" s="81">
        <v>7</v>
      </c>
      <c r="BS14" s="81">
        <v>-7</v>
      </c>
      <c r="BT14" s="81">
        <v>-6</v>
      </c>
      <c r="BU14" s="81">
        <v>-5</v>
      </c>
      <c r="BV14" s="81">
        <v>-4</v>
      </c>
      <c r="BW14" s="81">
        <v>-3</v>
      </c>
      <c r="BX14" s="81">
        <v>-2</v>
      </c>
      <c r="BY14" s="81">
        <v>-1</v>
      </c>
      <c r="BZ14" s="81">
        <v>0</v>
      </c>
      <c r="CA14" s="81">
        <v>1</v>
      </c>
      <c r="CB14" s="81">
        <v>2</v>
      </c>
      <c r="CC14" s="81">
        <v>3</v>
      </c>
      <c r="CD14" s="81">
        <v>4</v>
      </c>
      <c r="CE14" s="81">
        <v>5</v>
      </c>
      <c r="CF14" s="81">
        <v>6</v>
      </c>
      <c r="CG14" s="81">
        <v>7</v>
      </c>
      <c r="CO14" s="81">
        <v>-7</v>
      </c>
      <c r="CP14" s="81">
        <v>-6</v>
      </c>
      <c r="CQ14" s="81">
        <v>-5</v>
      </c>
      <c r="CR14" s="81">
        <v>-4</v>
      </c>
      <c r="CS14" s="81">
        <v>-3</v>
      </c>
      <c r="CT14" s="81">
        <v>-2</v>
      </c>
      <c r="CU14" s="81">
        <v>-1</v>
      </c>
      <c r="CV14" s="81">
        <v>0</v>
      </c>
      <c r="CW14" s="81">
        <v>1</v>
      </c>
      <c r="CX14" s="81">
        <v>2</v>
      </c>
      <c r="CY14" s="81">
        <v>3</v>
      </c>
      <c r="CZ14" s="81">
        <v>4</v>
      </c>
      <c r="DA14" s="81">
        <v>5</v>
      </c>
      <c r="DB14" s="81">
        <v>6</v>
      </c>
      <c r="DC14" s="81">
        <v>7</v>
      </c>
    </row>
    <row r="15" spans="3:107" ht="45" customHeight="1">
      <c r="D15" s="80">
        <v>10</v>
      </c>
      <c r="E15" s="82">
        <v>5</v>
      </c>
      <c r="V15" s="80">
        <v>10</v>
      </c>
      <c r="W15" s="82">
        <v>5</v>
      </c>
      <c r="AT15" s="80">
        <v>10</v>
      </c>
      <c r="AU15" s="82">
        <v>5</v>
      </c>
      <c r="BQ15" s="80">
        <v>10</v>
      </c>
      <c r="BR15" s="82">
        <v>5</v>
      </c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M15" s="80">
        <v>10</v>
      </c>
      <c r="CN15" s="82">
        <v>5</v>
      </c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</row>
    <row r="16" spans="3:107" ht="45" customHeight="1">
      <c r="D16" s="80">
        <v>9</v>
      </c>
      <c r="E16" s="82">
        <v>4</v>
      </c>
      <c r="G16" s="37"/>
      <c r="H16" s="37"/>
      <c r="I16" s="37"/>
      <c r="J16" s="38">
        <v>1</v>
      </c>
      <c r="K16" s="38">
        <v>2</v>
      </c>
      <c r="L16" s="38">
        <v>3</v>
      </c>
      <c r="M16" s="38">
        <v>4</v>
      </c>
      <c r="N16" s="38">
        <v>5</v>
      </c>
      <c r="O16" s="38">
        <v>6</v>
      </c>
      <c r="P16" s="38">
        <v>7</v>
      </c>
      <c r="Q16" s="37"/>
      <c r="R16" s="37"/>
      <c r="S16" s="37"/>
      <c r="V16" s="80">
        <v>9</v>
      </c>
      <c r="W16" s="82">
        <v>4</v>
      </c>
      <c r="Y16" s="37"/>
      <c r="Z16" s="37"/>
      <c r="AA16" s="37"/>
      <c r="AB16" s="83"/>
      <c r="AC16" s="83"/>
      <c r="AD16" s="83"/>
      <c r="AE16" s="84"/>
      <c r="AF16" s="84"/>
      <c r="AG16" s="84"/>
      <c r="AH16" s="84"/>
      <c r="AI16" s="37"/>
      <c r="AJ16" s="37"/>
      <c r="AK16" s="37"/>
      <c r="AT16" s="80">
        <v>9</v>
      </c>
      <c r="AU16" s="82">
        <v>4</v>
      </c>
      <c r="AY16" s="37"/>
      <c r="AZ16" s="37"/>
      <c r="BA16" s="37"/>
      <c r="BB16" s="83"/>
      <c r="BC16" s="83"/>
      <c r="BD16" s="83"/>
      <c r="BE16" s="84"/>
      <c r="BF16" s="84"/>
      <c r="BG16" s="84"/>
      <c r="BH16" s="84"/>
      <c r="BI16" s="37"/>
      <c r="BJ16" s="37"/>
      <c r="BK16" s="37"/>
      <c r="BQ16" s="80">
        <v>9</v>
      </c>
      <c r="BR16" s="82">
        <v>4</v>
      </c>
      <c r="BS16" s="43"/>
      <c r="BT16" s="58"/>
      <c r="BU16" s="58"/>
      <c r="BV16" s="58"/>
      <c r="BW16" s="85"/>
      <c r="BX16" s="85"/>
      <c r="BY16" s="85"/>
      <c r="BZ16" s="86">
        <v>1</v>
      </c>
      <c r="CA16" s="86">
        <v>2</v>
      </c>
      <c r="CB16" s="86">
        <v>3</v>
      </c>
      <c r="CC16" s="86">
        <v>4</v>
      </c>
      <c r="CD16" s="58">
        <v>5</v>
      </c>
      <c r="CE16" s="58">
        <v>6</v>
      </c>
      <c r="CF16" s="58">
        <v>7</v>
      </c>
      <c r="CG16" s="43"/>
      <c r="CM16" s="80">
        <v>9</v>
      </c>
      <c r="CN16" s="82">
        <v>4</v>
      </c>
      <c r="CO16" s="43"/>
      <c r="CP16" s="58"/>
      <c r="CQ16" s="58"/>
      <c r="CR16" s="58"/>
      <c r="CS16" s="85"/>
      <c r="CT16" s="85"/>
      <c r="CU16" s="85"/>
      <c r="CV16" s="86">
        <v>1</v>
      </c>
      <c r="CW16" s="86">
        <v>2</v>
      </c>
      <c r="CX16" s="86">
        <v>3</v>
      </c>
      <c r="CY16" s="86">
        <v>4</v>
      </c>
      <c r="CZ16" s="58"/>
      <c r="DA16" s="58"/>
      <c r="DB16" s="58"/>
      <c r="DC16" s="43"/>
    </row>
    <row r="17" spans="4:107" ht="45" customHeight="1">
      <c r="D17" s="80">
        <v>8</v>
      </c>
      <c r="E17" s="82">
        <v>3</v>
      </c>
      <c r="G17" s="37"/>
      <c r="H17" s="38">
        <v>8</v>
      </c>
      <c r="I17" s="38">
        <v>9</v>
      </c>
      <c r="J17" s="38">
        <v>10</v>
      </c>
      <c r="K17" s="38">
        <v>11</v>
      </c>
      <c r="L17" s="38">
        <v>12</v>
      </c>
      <c r="M17" s="38">
        <v>13</v>
      </c>
      <c r="N17" s="38">
        <v>14</v>
      </c>
      <c r="O17" s="38">
        <v>15</v>
      </c>
      <c r="P17" s="38">
        <v>16</v>
      </c>
      <c r="Q17" s="38">
        <v>17</v>
      </c>
      <c r="R17" s="38">
        <v>18</v>
      </c>
      <c r="S17" s="37"/>
      <c r="V17" s="80">
        <v>8</v>
      </c>
      <c r="W17" s="82">
        <v>3</v>
      </c>
      <c r="Y17" s="37"/>
      <c r="Z17" s="83"/>
      <c r="AA17" s="83"/>
      <c r="AB17" s="83"/>
      <c r="AC17" s="85"/>
      <c r="AD17" s="85"/>
      <c r="AE17" s="86"/>
      <c r="AF17" s="86"/>
      <c r="AG17" s="86"/>
      <c r="AH17" s="86"/>
      <c r="AI17" s="86"/>
      <c r="AJ17" s="84"/>
      <c r="AK17" s="37"/>
      <c r="AT17" s="80">
        <v>8</v>
      </c>
      <c r="AU17" s="82">
        <v>3</v>
      </c>
      <c r="AY17" s="37"/>
      <c r="AZ17" s="83"/>
      <c r="BA17" s="83"/>
      <c r="BB17" s="83"/>
      <c r="BC17" s="85"/>
      <c r="BD17" s="85"/>
      <c r="BE17" s="86"/>
      <c r="BF17" s="86"/>
      <c r="BG17" s="86"/>
      <c r="BH17" s="86"/>
      <c r="BI17" s="86"/>
      <c r="BJ17" s="84"/>
      <c r="BK17" s="37"/>
      <c r="BQ17" s="80">
        <v>8</v>
      </c>
      <c r="BR17" s="82">
        <v>3</v>
      </c>
      <c r="BS17" s="43"/>
      <c r="BT17" s="58"/>
      <c r="BU17" s="85"/>
      <c r="BV17" s="85"/>
      <c r="BW17" s="85"/>
      <c r="BX17" s="85">
        <v>8</v>
      </c>
      <c r="BY17" s="85">
        <v>9</v>
      </c>
      <c r="BZ17" s="86">
        <v>10</v>
      </c>
      <c r="CA17" s="86">
        <v>11</v>
      </c>
      <c r="CB17" s="86">
        <v>12</v>
      </c>
      <c r="CC17" s="86">
        <v>13</v>
      </c>
      <c r="CD17" s="86">
        <v>14</v>
      </c>
      <c r="CE17" s="86">
        <v>15</v>
      </c>
      <c r="CF17" s="58">
        <v>16</v>
      </c>
      <c r="CG17" s="43">
        <v>17</v>
      </c>
      <c r="CH17">
        <v>18</v>
      </c>
      <c r="CM17" s="80">
        <v>8</v>
      </c>
      <c r="CN17" s="82">
        <v>3</v>
      </c>
      <c r="CO17" s="43"/>
      <c r="CP17" s="58"/>
      <c r="CQ17" s="85"/>
      <c r="CR17" s="85"/>
      <c r="CS17" s="85"/>
      <c r="CT17" s="85">
        <v>8</v>
      </c>
      <c r="CU17" s="85">
        <v>9</v>
      </c>
      <c r="CV17" s="86">
        <v>10</v>
      </c>
      <c r="CW17" s="86">
        <v>11</v>
      </c>
      <c r="CX17" s="86">
        <v>12</v>
      </c>
      <c r="CY17" s="86">
        <v>13</v>
      </c>
      <c r="CZ17" s="86">
        <v>14</v>
      </c>
      <c r="DA17" s="86">
        <v>15</v>
      </c>
      <c r="DB17" s="58"/>
      <c r="DC17" s="43"/>
    </row>
    <row r="18" spans="4:107" ht="45" customHeight="1">
      <c r="D18" s="80">
        <v>7</v>
      </c>
      <c r="E18" s="82">
        <v>2</v>
      </c>
      <c r="G18" s="38">
        <v>19</v>
      </c>
      <c r="H18" s="38">
        <v>20</v>
      </c>
      <c r="I18" s="38">
        <v>21</v>
      </c>
      <c r="J18" s="38">
        <v>22</v>
      </c>
      <c r="K18" s="38">
        <v>23</v>
      </c>
      <c r="L18" s="38">
        <v>24</v>
      </c>
      <c r="M18" s="38">
        <v>25</v>
      </c>
      <c r="N18" s="38">
        <v>26</v>
      </c>
      <c r="O18" s="38">
        <v>27</v>
      </c>
      <c r="P18" s="38">
        <v>28</v>
      </c>
      <c r="Q18" s="38">
        <v>29</v>
      </c>
      <c r="R18" s="38">
        <v>30</v>
      </c>
      <c r="S18" s="38">
        <v>31</v>
      </c>
      <c r="V18" s="80">
        <v>7</v>
      </c>
      <c r="W18" s="82">
        <v>2</v>
      </c>
      <c r="Y18" s="83"/>
      <c r="Z18" s="83"/>
      <c r="AA18" s="83"/>
      <c r="AB18" s="83"/>
      <c r="AC18" s="87"/>
      <c r="AD18" s="87"/>
      <c r="AE18" s="88"/>
      <c r="AF18" s="88"/>
      <c r="AG18" s="88"/>
      <c r="AH18" s="88"/>
      <c r="AI18" s="88"/>
      <c r="AJ18" s="84"/>
      <c r="AK18" s="84"/>
      <c r="AO18" s="84"/>
      <c r="AP18" s="59" t="s">
        <v>49</v>
      </c>
      <c r="AT18" s="80">
        <v>7</v>
      </c>
      <c r="AU18" s="82">
        <v>2</v>
      </c>
      <c r="AY18" s="83"/>
      <c r="AZ18" s="83"/>
      <c r="BA18" s="83"/>
      <c r="BB18" s="83"/>
      <c r="BC18" s="87"/>
      <c r="BD18" s="87"/>
      <c r="BE18" s="88"/>
      <c r="BF18" s="88"/>
      <c r="BG18" s="88"/>
      <c r="BH18" s="88"/>
      <c r="BI18" s="88"/>
      <c r="BJ18" s="84"/>
      <c r="BK18" s="84"/>
      <c r="BQ18" s="80">
        <v>7</v>
      </c>
      <c r="BR18" s="82">
        <v>2</v>
      </c>
      <c r="BS18" s="43"/>
      <c r="BT18" s="85"/>
      <c r="BU18" s="85"/>
      <c r="BV18" s="85"/>
      <c r="BW18" s="85">
        <v>19</v>
      </c>
      <c r="BX18" s="85">
        <v>20</v>
      </c>
      <c r="BY18" s="85">
        <v>21</v>
      </c>
      <c r="BZ18" s="86">
        <v>22</v>
      </c>
      <c r="CA18" s="86">
        <v>23</v>
      </c>
      <c r="CB18" s="86">
        <v>24</v>
      </c>
      <c r="CC18" s="86">
        <v>25</v>
      </c>
      <c r="CD18" s="86">
        <v>26</v>
      </c>
      <c r="CE18" s="86">
        <v>27</v>
      </c>
      <c r="CF18" s="86">
        <v>28</v>
      </c>
      <c r="CG18" s="43">
        <v>29</v>
      </c>
      <c r="CH18">
        <v>30</v>
      </c>
      <c r="CI18">
        <v>31</v>
      </c>
      <c r="CM18" s="80">
        <v>7</v>
      </c>
      <c r="CN18" s="82">
        <v>2</v>
      </c>
      <c r="CO18" s="43"/>
      <c r="CP18" s="85"/>
      <c r="CQ18" s="85"/>
      <c r="CR18" s="85"/>
      <c r="CS18" s="85">
        <v>19</v>
      </c>
      <c r="CT18" s="85">
        <v>20</v>
      </c>
      <c r="CU18" s="85">
        <v>21</v>
      </c>
      <c r="CV18" s="86">
        <v>22</v>
      </c>
      <c r="CW18" s="86">
        <v>23</v>
      </c>
      <c r="CX18" s="86">
        <v>24</v>
      </c>
      <c r="CY18" s="86">
        <v>25</v>
      </c>
      <c r="CZ18" s="86">
        <v>26</v>
      </c>
      <c r="DA18" s="86">
        <v>27</v>
      </c>
      <c r="DB18" s="86">
        <v>28</v>
      </c>
      <c r="DC18" s="43"/>
    </row>
    <row r="19" spans="4:107" ht="45" customHeight="1">
      <c r="D19" s="80">
        <v>6</v>
      </c>
      <c r="E19" s="82">
        <v>1</v>
      </c>
      <c r="G19" s="38">
        <v>32</v>
      </c>
      <c r="H19" s="38">
        <v>33</v>
      </c>
      <c r="I19" s="38">
        <v>34</v>
      </c>
      <c r="J19" s="38">
        <v>35</v>
      </c>
      <c r="K19" s="38">
        <v>36</v>
      </c>
      <c r="L19" s="38">
        <v>37</v>
      </c>
      <c r="M19" s="38">
        <v>38</v>
      </c>
      <c r="N19" s="38">
        <v>39</v>
      </c>
      <c r="O19" s="38">
        <v>40</v>
      </c>
      <c r="P19" s="38">
        <v>41</v>
      </c>
      <c r="Q19" s="38">
        <v>42</v>
      </c>
      <c r="R19" s="38">
        <v>43</v>
      </c>
      <c r="S19" s="38">
        <v>44</v>
      </c>
      <c r="V19" s="80">
        <v>6</v>
      </c>
      <c r="W19" s="82">
        <v>1</v>
      </c>
      <c r="Y19" s="83"/>
      <c r="Z19" s="83"/>
      <c r="AA19" s="83"/>
      <c r="AB19" s="83"/>
      <c r="AC19" s="87"/>
      <c r="AD19" s="87"/>
      <c r="AE19" s="88"/>
      <c r="AF19" s="88"/>
      <c r="AG19" s="88"/>
      <c r="AH19" s="88"/>
      <c r="AI19" s="88"/>
      <c r="AJ19" s="84"/>
      <c r="AK19" s="84"/>
      <c r="AO19" s="89"/>
      <c r="AP19" s="59" t="s">
        <v>50</v>
      </c>
      <c r="AT19" s="80">
        <v>6</v>
      </c>
      <c r="AU19" s="82">
        <v>1</v>
      </c>
      <c r="AY19" s="83"/>
      <c r="AZ19" s="83"/>
      <c r="BA19" s="83"/>
      <c r="BB19" s="83"/>
      <c r="BC19" s="87"/>
      <c r="BD19" s="87"/>
      <c r="BE19" s="88"/>
      <c r="BF19" s="88"/>
      <c r="BG19" s="88"/>
      <c r="BH19" s="88"/>
      <c r="BI19" s="88"/>
      <c r="BJ19" s="84"/>
      <c r="BK19" s="84"/>
      <c r="BQ19" s="80">
        <v>6</v>
      </c>
      <c r="BR19" s="82">
        <v>1</v>
      </c>
      <c r="BS19" s="43"/>
      <c r="BT19" s="85"/>
      <c r="BU19" s="85"/>
      <c r="BV19" s="85"/>
      <c r="BW19" s="85">
        <v>32</v>
      </c>
      <c r="BX19" s="85">
        <v>33</v>
      </c>
      <c r="BY19" s="85">
        <v>34</v>
      </c>
      <c r="BZ19" s="86">
        <v>35</v>
      </c>
      <c r="CA19" s="86">
        <v>36</v>
      </c>
      <c r="CB19" s="86">
        <v>37</v>
      </c>
      <c r="CC19" s="86">
        <v>38</v>
      </c>
      <c r="CD19" s="86">
        <v>39</v>
      </c>
      <c r="CE19" s="86">
        <v>40</v>
      </c>
      <c r="CF19" s="86">
        <v>41</v>
      </c>
      <c r="CG19" s="43">
        <v>42</v>
      </c>
      <c r="CH19">
        <v>43</v>
      </c>
      <c r="CI19">
        <v>44</v>
      </c>
      <c r="CM19" s="80">
        <v>6</v>
      </c>
      <c r="CN19" s="82">
        <v>1</v>
      </c>
      <c r="CO19" s="43"/>
      <c r="CP19" s="85"/>
      <c r="CQ19" s="85"/>
      <c r="CR19" s="85"/>
      <c r="CS19" s="85">
        <v>32</v>
      </c>
      <c r="CT19" s="85">
        <v>33</v>
      </c>
      <c r="CU19" s="85">
        <v>34</v>
      </c>
      <c r="CV19" s="86">
        <v>35</v>
      </c>
      <c r="CW19" s="86">
        <v>36</v>
      </c>
      <c r="CX19" s="86">
        <v>37</v>
      </c>
      <c r="CY19" s="86">
        <v>38</v>
      </c>
      <c r="CZ19" s="86">
        <v>39</v>
      </c>
      <c r="DA19" s="86">
        <v>40</v>
      </c>
      <c r="DB19" s="86">
        <v>41</v>
      </c>
      <c r="DC19" s="43"/>
    </row>
    <row r="20" spans="4:107" ht="45" customHeight="1">
      <c r="D20" s="80">
        <v>5</v>
      </c>
      <c r="E20" s="82">
        <v>0</v>
      </c>
      <c r="G20" s="38">
        <v>45</v>
      </c>
      <c r="H20" s="38">
        <v>46</v>
      </c>
      <c r="I20" s="38">
        <v>47</v>
      </c>
      <c r="J20" s="38">
        <v>48</v>
      </c>
      <c r="K20" s="38">
        <v>49</v>
      </c>
      <c r="L20" s="38">
        <v>50</v>
      </c>
      <c r="M20" s="90">
        <v>51</v>
      </c>
      <c r="N20" s="38">
        <v>52</v>
      </c>
      <c r="O20" s="38">
        <v>53</v>
      </c>
      <c r="P20" s="38">
        <v>54</v>
      </c>
      <c r="Q20" s="38">
        <v>55</v>
      </c>
      <c r="R20" s="38">
        <v>56</v>
      </c>
      <c r="S20" s="38">
        <v>57</v>
      </c>
      <c r="V20" s="80">
        <v>5</v>
      </c>
      <c r="W20" s="82">
        <v>0</v>
      </c>
      <c r="Y20" s="83"/>
      <c r="Z20" s="83"/>
      <c r="AA20" s="83"/>
      <c r="AB20" s="83">
        <v>48</v>
      </c>
      <c r="AC20" s="85">
        <v>49</v>
      </c>
      <c r="AD20" s="85">
        <v>50</v>
      </c>
      <c r="AE20" s="91" t="s">
        <v>51</v>
      </c>
      <c r="AF20" s="92"/>
      <c r="AG20" s="92"/>
      <c r="AH20" s="92"/>
      <c r="AI20" s="92"/>
      <c r="AJ20" s="89"/>
      <c r="AK20" s="89"/>
      <c r="AO20" s="93"/>
      <c r="AP20" s="59" t="s">
        <v>52</v>
      </c>
      <c r="AT20" s="80">
        <v>5</v>
      </c>
      <c r="AU20" s="82">
        <v>0</v>
      </c>
      <c r="AY20" s="83"/>
      <c r="AZ20" s="83"/>
      <c r="BA20" s="83"/>
      <c r="BB20" s="83"/>
      <c r="BC20" s="87"/>
      <c r="BD20" s="87"/>
      <c r="BE20" s="91" t="s">
        <v>51</v>
      </c>
      <c r="BF20" s="92">
        <v>49</v>
      </c>
      <c r="BG20" s="92">
        <v>50</v>
      </c>
      <c r="BH20" s="92"/>
      <c r="BI20" s="92"/>
      <c r="BJ20" s="89"/>
      <c r="BK20" s="89"/>
      <c r="BQ20" s="80">
        <v>5</v>
      </c>
      <c r="BR20" s="82">
        <v>0</v>
      </c>
      <c r="BS20" s="43"/>
      <c r="BT20" s="85"/>
      <c r="BU20" s="85"/>
      <c r="BV20" s="85"/>
      <c r="BW20" s="85">
        <v>45</v>
      </c>
      <c r="BX20" s="85">
        <v>46</v>
      </c>
      <c r="BY20" s="85">
        <v>47</v>
      </c>
      <c r="BZ20" s="97">
        <v>48</v>
      </c>
      <c r="CA20" s="98">
        <v>49</v>
      </c>
      <c r="CB20" s="98">
        <v>50</v>
      </c>
      <c r="CC20" s="98">
        <v>51</v>
      </c>
      <c r="CD20" s="98">
        <v>52</v>
      </c>
      <c r="CE20" s="98">
        <v>53</v>
      </c>
      <c r="CF20" s="98">
        <v>54</v>
      </c>
      <c r="CG20" s="43"/>
      <c r="CM20" s="80">
        <v>5</v>
      </c>
      <c r="CN20" s="82">
        <v>0</v>
      </c>
      <c r="CO20" s="43"/>
      <c r="CP20" s="85"/>
      <c r="CQ20" s="85"/>
      <c r="CR20" s="85"/>
      <c r="CS20" s="85">
        <v>45</v>
      </c>
      <c r="CT20" s="85">
        <v>46</v>
      </c>
      <c r="CU20" s="85">
        <v>47</v>
      </c>
      <c r="CV20" s="97">
        <v>48</v>
      </c>
      <c r="CW20" s="98">
        <v>49</v>
      </c>
      <c r="CX20" s="98">
        <v>50</v>
      </c>
      <c r="CY20" s="98">
        <v>51</v>
      </c>
      <c r="CZ20" s="98">
        <v>52</v>
      </c>
      <c r="DA20" s="98">
        <v>53</v>
      </c>
      <c r="DB20" s="98">
        <v>54</v>
      </c>
      <c r="DC20" s="43"/>
    </row>
    <row r="21" spans="4:107" ht="45" customHeight="1">
      <c r="D21" s="80">
        <v>4</v>
      </c>
      <c r="E21" s="82">
        <v>-1</v>
      </c>
      <c r="G21" s="38">
        <v>58</v>
      </c>
      <c r="H21" s="38">
        <v>59</v>
      </c>
      <c r="I21" s="38">
        <v>60</v>
      </c>
      <c r="J21" s="38">
        <v>61</v>
      </c>
      <c r="K21" s="38">
        <v>62</v>
      </c>
      <c r="L21" s="38">
        <v>63</v>
      </c>
      <c r="M21" s="38">
        <v>64</v>
      </c>
      <c r="N21" s="38">
        <v>65</v>
      </c>
      <c r="O21" s="38">
        <v>66</v>
      </c>
      <c r="P21" s="38">
        <v>67</v>
      </c>
      <c r="Q21" s="38">
        <v>68</v>
      </c>
      <c r="R21" s="38">
        <v>69</v>
      </c>
      <c r="S21" s="38">
        <v>70</v>
      </c>
      <c r="V21" s="80">
        <v>4</v>
      </c>
      <c r="W21" s="82">
        <v>-1</v>
      </c>
      <c r="Y21" s="94"/>
      <c r="Z21" s="94"/>
      <c r="AA21" s="94"/>
      <c r="AB21" s="94"/>
      <c r="AC21" s="93"/>
      <c r="AD21" s="99"/>
      <c r="AE21" s="93"/>
      <c r="AF21" s="92"/>
      <c r="AG21" s="92"/>
      <c r="AH21" s="92"/>
      <c r="AI21" s="92"/>
      <c r="AJ21" s="89"/>
      <c r="AK21" s="89"/>
      <c r="AO21" s="87"/>
      <c r="AP21" s="59" t="s">
        <v>53</v>
      </c>
      <c r="AT21" s="80">
        <v>4</v>
      </c>
      <c r="AU21" s="82">
        <v>-1</v>
      </c>
      <c r="AY21" s="94"/>
      <c r="AZ21" s="94"/>
      <c r="BA21" s="94"/>
      <c r="BB21" s="94"/>
      <c r="BC21" s="93"/>
      <c r="BD21" s="93"/>
      <c r="BE21" s="93"/>
      <c r="BF21" s="92"/>
      <c r="BG21" s="92"/>
      <c r="BH21" s="92"/>
      <c r="BI21" s="92"/>
      <c r="BJ21" s="89"/>
      <c r="BK21" s="89"/>
      <c r="BQ21" s="80">
        <v>4</v>
      </c>
      <c r="BR21" s="82">
        <v>-1</v>
      </c>
      <c r="BS21" s="43"/>
      <c r="BT21" s="99"/>
      <c r="BU21" s="99"/>
      <c r="BV21" s="99"/>
      <c r="BW21" s="99">
        <v>58</v>
      </c>
      <c r="BX21" s="99">
        <v>59</v>
      </c>
      <c r="BY21" s="99">
        <v>60</v>
      </c>
      <c r="BZ21" s="99">
        <v>61</v>
      </c>
      <c r="CA21" s="98">
        <v>62</v>
      </c>
      <c r="CB21" s="98">
        <v>63</v>
      </c>
      <c r="CC21" s="98">
        <v>64</v>
      </c>
      <c r="CD21" s="98">
        <v>65</v>
      </c>
      <c r="CE21" s="98">
        <v>66</v>
      </c>
      <c r="CF21" s="98">
        <v>67</v>
      </c>
      <c r="CG21" s="43">
        <v>68</v>
      </c>
      <c r="CH21">
        <v>69</v>
      </c>
      <c r="CI21">
        <v>70</v>
      </c>
      <c r="CM21" s="80">
        <v>4</v>
      </c>
      <c r="CN21" s="82">
        <v>-1</v>
      </c>
      <c r="CO21" s="43"/>
      <c r="CP21" s="99"/>
      <c r="CQ21" s="99"/>
      <c r="CR21" s="99"/>
      <c r="CS21" s="99">
        <v>58</v>
      </c>
      <c r="CT21" s="99">
        <v>59</v>
      </c>
      <c r="CU21" s="99">
        <v>60</v>
      </c>
      <c r="CV21" s="99">
        <v>61</v>
      </c>
      <c r="CW21" s="98">
        <v>62</v>
      </c>
      <c r="CX21" s="98">
        <v>63</v>
      </c>
      <c r="CY21" s="98">
        <v>64</v>
      </c>
      <c r="CZ21" s="98">
        <v>65</v>
      </c>
      <c r="DA21" s="98">
        <v>66</v>
      </c>
      <c r="DB21" s="98">
        <v>67</v>
      </c>
      <c r="DC21" s="43"/>
    </row>
    <row r="22" spans="4:107" ht="45" customHeight="1">
      <c r="D22" s="80">
        <v>3</v>
      </c>
      <c r="E22" s="82">
        <v>-2</v>
      </c>
      <c r="G22" s="38">
        <v>71</v>
      </c>
      <c r="H22" s="38">
        <v>72</v>
      </c>
      <c r="I22" s="38">
        <v>73</v>
      </c>
      <c r="J22" s="38">
        <v>74</v>
      </c>
      <c r="K22" s="38">
        <v>75</v>
      </c>
      <c r="L22" s="38">
        <v>76</v>
      </c>
      <c r="M22" s="38">
        <v>77</v>
      </c>
      <c r="N22" s="38">
        <v>78</v>
      </c>
      <c r="O22" s="38">
        <v>79</v>
      </c>
      <c r="P22" s="38">
        <v>80</v>
      </c>
      <c r="Q22" s="38">
        <v>81</v>
      </c>
      <c r="R22" s="38">
        <v>82</v>
      </c>
      <c r="S22" s="38">
        <v>83</v>
      </c>
      <c r="V22" s="80">
        <v>3</v>
      </c>
      <c r="W22" s="82">
        <v>-2</v>
      </c>
      <c r="Y22" s="94"/>
      <c r="Z22" s="94"/>
      <c r="AA22" s="94"/>
      <c r="AB22" s="94"/>
      <c r="AC22" s="94"/>
      <c r="AD22" s="94"/>
      <c r="AE22" s="94"/>
      <c r="AF22" s="89"/>
      <c r="AG22" s="89"/>
      <c r="AH22" s="89"/>
      <c r="AI22" s="89"/>
      <c r="AJ22" s="89"/>
      <c r="AK22" s="89"/>
      <c r="AT22" s="80">
        <v>3</v>
      </c>
      <c r="AU22" s="82">
        <v>-2</v>
      </c>
      <c r="AY22" s="94"/>
      <c r="AZ22" s="94"/>
      <c r="BA22" s="94"/>
      <c r="BB22" s="94"/>
      <c r="BC22" s="94"/>
      <c r="BD22" s="94"/>
      <c r="BE22" s="94"/>
      <c r="BF22" s="89"/>
      <c r="BG22" s="89"/>
      <c r="BH22" s="89"/>
      <c r="BI22" s="89"/>
      <c r="BJ22" s="89"/>
      <c r="BK22" s="89"/>
      <c r="BQ22" s="80">
        <v>3</v>
      </c>
      <c r="BR22" s="82">
        <v>-2</v>
      </c>
      <c r="BS22" s="43"/>
      <c r="BT22" s="99"/>
      <c r="BU22" s="99"/>
      <c r="BV22" s="99"/>
      <c r="BW22" s="99">
        <v>71</v>
      </c>
      <c r="BX22" s="99">
        <v>72</v>
      </c>
      <c r="BY22" s="99">
        <v>73</v>
      </c>
      <c r="BZ22" s="99">
        <v>74</v>
      </c>
      <c r="CA22" s="98">
        <v>75</v>
      </c>
      <c r="CB22" s="98">
        <v>76</v>
      </c>
      <c r="CC22" s="98">
        <v>77</v>
      </c>
      <c r="CD22" s="98">
        <v>78</v>
      </c>
      <c r="CE22" s="98">
        <v>79</v>
      </c>
      <c r="CF22" s="98">
        <v>80</v>
      </c>
      <c r="CG22" s="43">
        <v>81</v>
      </c>
      <c r="CH22">
        <v>82</v>
      </c>
      <c r="CI22">
        <v>83</v>
      </c>
      <c r="CM22" s="80">
        <v>3</v>
      </c>
      <c r="CN22" s="82">
        <v>-2</v>
      </c>
      <c r="CO22" s="43"/>
      <c r="CP22" s="99"/>
      <c r="CQ22" s="99"/>
      <c r="CR22" s="99"/>
      <c r="CS22" s="99">
        <v>71</v>
      </c>
      <c r="CT22" s="99">
        <v>72</v>
      </c>
      <c r="CU22" s="99">
        <v>73</v>
      </c>
      <c r="CV22" s="99">
        <v>74</v>
      </c>
      <c r="CW22" s="98">
        <v>75</v>
      </c>
      <c r="CX22" s="98">
        <v>76</v>
      </c>
      <c r="CY22" s="98">
        <v>77</v>
      </c>
      <c r="CZ22" s="98">
        <v>78</v>
      </c>
      <c r="DA22" s="98">
        <v>79</v>
      </c>
      <c r="DB22" s="98">
        <v>80</v>
      </c>
      <c r="DC22" s="43"/>
    </row>
    <row r="23" spans="4:107" ht="45" customHeight="1">
      <c r="D23" s="80">
        <v>2</v>
      </c>
      <c r="E23" s="82">
        <v>-3</v>
      </c>
      <c r="G23" s="37"/>
      <c r="H23" s="38">
        <v>84</v>
      </c>
      <c r="I23" s="38">
        <v>85</v>
      </c>
      <c r="J23" s="38">
        <v>86</v>
      </c>
      <c r="K23" s="38">
        <v>87</v>
      </c>
      <c r="L23" s="38">
        <v>88</v>
      </c>
      <c r="M23" s="38">
        <v>89</v>
      </c>
      <c r="N23" s="38">
        <v>90</v>
      </c>
      <c r="O23" s="38">
        <v>91</v>
      </c>
      <c r="P23" s="38">
        <v>92</v>
      </c>
      <c r="Q23" s="38">
        <v>93</v>
      </c>
      <c r="R23" s="38">
        <v>94</v>
      </c>
      <c r="S23" s="37"/>
      <c r="V23" s="80">
        <v>2</v>
      </c>
      <c r="W23" s="82">
        <v>-3</v>
      </c>
      <c r="Y23" s="37"/>
      <c r="Z23" s="94"/>
      <c r="AA23" s="94"/>
      <c r="AB23" s="94"/>
      <c r="AC23" s="94"/>
      <c r="AD23" s="94"/>
      <c r="AE23" s="94"/>
      <c r="AF23" s="89"/>
      <c r="AG23" s="89"/>
      <c r="AH23" s="89"/>
      <c r="AI23" s="89"/>
      <c r="AJ23" s="89"/>
      <c r="AK23" s="37"/>
      <c r="AT23" s="80">
        <v>2</v>
      </c>
      <c r="AU23" s="82">
        <v>-3</v>
      </c>
      <c r="AY23" s="37"/>
      <c r="AZ23" s="94"/>
      <c r="BA23" s="94"/>
      <c r="BB23" s="94"/>
      <c r="BC23" s="94"/>
      <c r="BD23" s="94"/>
      <c r="BE23" s="94"/>
      <c r="BF23" s="89"/>
      <c r="BG23" s="89"/>
      <c r="BH23" s="89"/>
      <c r="BI23" s="89"/>
      <c r="BJ23" s="89"/>
      <c r="BK23" s="37"/>
      <c r="BQ23" s="80">
        <v>2</v>
      </c>
      <c r="BR23" s="82">
        <v>-3</v>
      </c>
      <c r="BS23" s="43"/>
      <c r="BT23" s="58"/>
      <c r="BU23" s="99"/>
      <c r="BV23" s="99"/>
      <c r="BW23" s="99"/>
      <c r="BX23" s="99">
        <v>84</v>
      </c>
      <c r="BY23" s="99">
        <v>85</v>
      </c>
      <c r="BZ23" s="99">
        <v>86</v>
      </c>
      <c r="CA23" s="98">
        <v>87</v>
      </c>
      <c r="CB23" s="98">
        <v>88</v>
      </c>
      <c r="CC23" s="98">
        <v>89</v>
      </c>
      <c r="CD23" s="98">
        <v>90</v>
      </c>
      <c r="CE23" s="98">
        <v>91</v>
      </c>
      <c r="CF23" s="58">
        <v>92</v>
      </c>
      <c r="CG23" s="43">
        <v>93</v>
      </c>
      <c r="CH23">
        <v>94</v>
      </c>
      <c r="CM23" s="80">
        <v>2</v>
      </c>
      <c r="CN23" s="82">
        <v>-3</v>
      </c>
      <c r="CO23" s="43"/>
      <c r="CP23" s="58"/>
      <c r="CQ23" s="99"/>
      <c r="CR23" s="99"/>
      <c r="CS23" s="99"/>
      <c r="CT23" s="99">
        <v>84</v>
      </c>
      <c r="CU23" s="99">
        <v>85</v>
      </c>
      <c r="CV23" s="99">
        <v>86</v>
      </c>
      <c r="CW23" s="98">
        <v>87</v>
      </c>
      <c r="CX23" s="98">
        <v>88</v>
      </c>
      <c r="CY23" s="98">
        <v>89</v>
      </c>
      <c r="CZ23" s="98">
        <v>90</v>
      </c>
      <c r="DA23" s="98">
        <v>91</v>
      </c>
      <c r="DB23" s="58"/>
      <c r="DC23" s="43"/>
    </row>
    <row r="24" spans="4:107" ht="45" customHeight="1">
      <c r="D24" s="80">
        <v>1</v>
      </c>
      <c r="E24" s="82">
        <v>-4</v>
      </c>
      <c r="G24" s="37"/>
      <c r="H24" s="37"/>
      <c r="I24" s="37"/>
      <c r="J24" s="38">
        <v>95</v>
      </c>
      <c r="K24" s="38">
        <v>96</v>
      </c>
      <c r="L24" s="38">
        <v>97</v>
      </c>
      <c r="M24" s="38">
        <v>98</v>
      </c>
      <c r="N24" s="38">
        <v>99</v>
      </c>
      <c r="O24" s="38">
        <v>100</v>
      </c>
      <c r="P24" s="38">
        <v>101</v>
      </c>
      <c r="Q24" s="37"/>
      <c r="R24" s="37"/>
      <c r="S24" s="37"/>
      <c r="V24" s="80">
        <v>1</v>
      </c>
      <c r="W24" s="82">
        <v>-4</v>
      </c>
      <c r="Y24" s="37"/>
      <c r="Z24" s="37"/>
      <c r="AA24" s="37"/>
      <c r="AB24" s="94"/>
      <c r="AC24" s="94"/>
      <c r="AD24" s="94"/>
      <c r="AE24" s="94"/>
      <c r="AF24" s="89"/>
      <c r="AG24" s="89"/>
      <c r="AH24" s="89"/>
      <c r="AI24" s="37"/>
      <c r="AJ24" s="37"/>
      <c r="AK24" s="37"/>
      <c r="AT24" s="80">
        <v>1</v>
      </c>
      <c r="AU24" s="82">
        <v>-4</v>
      </c>
      <c r="AY24" s="37"/>
      <c r="AZ24" s="37"/>
      <c r="BA24" s="37"/>
      <c r="BB24" s="94"/>
      <c r="BC24" s="94"/>
      <c r="BD24" s="94"/>
      <c r="BE24" s="94"/>
      <c r="BF24" s="89"/>
      <c r="BG24" s="89"/>
      <c r="BH24" s="89"/>
      <c r="BI24" s="37"/>
      <c r="BJ24" s="37"/>
      <c r="BK24" s="37"/>
      <c r="BQ24" s="80">
        <v>1</v>
      </c>
      <c r="BR24" s="82">
        <v>-4</v>
      </c>
      <c r="BS24" s="43"/>
      <c r="BT24" s="58"/>
      <c r="BU24" s="58"/>
      <c r="BV24" s="58"/>
      <c r="BW24" s="99"/>
      <c r="BX24" s="99"/>
      <c r="BY24" s="99"/>
      <c r="BZ24" s="99">
        <v>95</v>
      </c>
      <c r="CA24" s="98">
        <v>96</v>
      </c>
      <c r="CB24" s="98">
        <v>97</v>
      </c>
      <c r="CC24" s="98">
        <v>98</v>
      </c>
      <c r="CD24" s="58">
        <v>99</v>
      </c>
      <c r="CE24" s="58">
        <v>100</v>
      </c>
      <c r="CF24" s="58">
        <v>101</v>
      </c>
      <c r="CG24" s="43"/>
      <c r="CM24" s="80">
        <v>1</v>
      </c>
      <c r="CN24" s="82">
        <v>-4</v>
      </c>
      <c r="CO24" s="43"/>
      <c r="CP24" s="58"/>
      <c r="CQ24" s="58"/>
      <c r="CR24" s="58"/>
      <c r="CS24" s="99"/>
      <c r="CT24" s="99"/>
      <c r="CU24" s="99"/>
      <c r="CV24" s="99">
        <v>95</v>
      </c>
      <c r="CW24" s="98">
        <v>96</v>
      </c>
      <c r="CX24" s="98">
        <v>97</v>
      </c>
      <c r="CY24" s="98">
        <v>98</v>
      </c>
      <c r="CZ24" s="58"/>
      <c r="DA24" s="58"/>
      <c r="DB24" s="58"/>
      <c r="DC24" s="43"/>
    </row>
    <row r="25" spans="4:107" ht="45" customHeight="1">
      <c r="D25" s="80">
        <v>0</v>
      </c>
      <c r="E25" s="82">
        <v>-5</v>
      </c>
      <c r="V25" s="80">
        <v>0</v>
      </c>
      <c r="W25" s="82">
        <v>-5</v>
      </c>
      <c r="AT25" s="80">
        <v>0</v>
      </c>
      <c r="AU25" s="82">
        <v>-5</v>
      </c>
      <c r="BQ25" s="80">
        <v>0</v>
      </c>
      <c r="BR25" s="82">
        <v>-5</v>
      </c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M25" s="80">
        <v>0</v>
      </c>
      <c r="CN25" s="82">
        <v>-5</v>
      </c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</row>
    <row r="27" spans="4:107" ht="45" customHeight="1">
      <c r="BC27" s="84"/>
      <c r="BD27" s="59" t="s">
        <v>49</v>
      </c>
    </row>
    <row r="28" spans="4:107" ht="45" customHeight="1">
      <c r="BC28" s="89"/>
      <c r="BD28" s="59" t="s">
        <v>50</v>
      </c>
    </row>
    <row r="29" spans="4:107" ht="45" customHeight="1">
      <c r="BC29" s="93"/>
      <c r="BD29" s="59" t="s">
        <v>52</v>
      </c>
    </row>
    <row r="30" spans="4:107" ht="45" customHeight="1">
      <c r="BC30" s="87"/>
      <c r="BD30" s="59" t="s">
        <v>53</v>
      </c>
    </row>
  </sheetData>
  <conditionalFormatting sqref="X2:AI10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:AJ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F9E7-D1C1-422F-A958-477E676E959A}">
  <dimension ref="G1:DB15"/>
  <sheetViews>
    <sheetView zoomScale="40" zoomScaleNormal="40" workbookViewId="0">
      <selection activeCell="AB19" sqref="AB19"/>
    </sheetView>
    <sheetView zoomScale="55" zoomScaleNormal="55" workbookViewId="1"/>
  </sheetViews>
  <sheetFormatPr defaultColWidth="6.7109375" defaultRowHeight="45" customHeight="1"/>
  <cols>
    <col min="39" max="39" width="6.7109375" customWidth="1"/>
  </cols>
  <sheetData>
    <row r="1" spans="7:106" ht="45" customHeight="1">
      <c r="J1" s="237" t="s">
        <v>54</v>
      </c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AD1" s="57"/>
      <c r="AE1" s="57"/>
      <c r="AF1" s="237" t="s">
        <v>55</v>
      </c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  <c r="AR1" s="237"/>
      <c r="AS1" s="237"/>
      <c r="AT1" s="237"/>
      <c r="AU1" s="57"/>
      <c r="AV1" s="57"/>
      <c r="AX1" s="57"/>
      <c r="AY1" s="57"/>
      <c r="AZ1" s="237" t="s">
        <v>56</v>
      </c>
      <c r="BA1" s="237"/>
      <c r="BB1" s="237"/>
      <c r="BC1" s="237"/>
      <c r="BD1" s="237"/>
      <c r="BE1" s="237"/>
      <c r="BF1" s="237"/>
      <c r="BG1" s="237"/>
      <c r="BH1" s="237"/>
      <c r="BI1" s="237"/>
      <c r="BJ1" s="237"/>
      <c r="BK1" s="237"/>
      <c r="BL1" s="237"/>
      <c r="BM1" s="237"/>
      <c r="BN1" s="237"/>
      <c r="BR1" s="57"/>
      <c r="BS1" s="57"/>
      <c r="BT1" s="237" t="s">
        <v>57</v>
      </c>
      <c r="BU1" s="237"/>
      <c r="BV1" s="237"/>
      <c r="BW1" s="237"/>
      <c r="BX1" s="237"/>
      <c r="BY1" s="237"/>
      <c r="BZ1" s="237"/>
      <c r="CA1" s="237"/>
      <c r="CB1" s="237"/>
      <c r="CC1" s="237"/>
      <c r="CD1" s="237"/>
      <c r="CE1" s="237"/>
      <c r="CF1" s="237"/>
      <c r="CG1" s="237"/>
      <c r="CH1" s="237"/>
      <c r="CL1" s="57"/>
      <c r="CM1" s="57"/>
      <c r="CN1" s="237" t="s">
        <v>58</v>
      </c>
      <c r="CO1" s="237"/>
      <c r="CP1" s="237"/>
      <c r="CQ1" s="237"/>
      <c r="CR1" s="237"/>
      <c r="CS1" s="237"/>
      <c r="CT1" s="237"/>
      <c r="CU1" s="237"/>
      <c r="CV1" s="237"/>
      <c r="CW1" s="237"/>
      <c r="CX1" s="237"/>
      <c r="CY1" s="237"/>
      <c r="CZ1" s="237"/>
      <c r="DA1" s="237"/>
      <c r="DB1" s="237"/>
    </row>
    <row r="2" spans="7:106" ht="45" customHeight="1">
      <c r="J2" s="238" t="s">
        <v>59</v>
      </c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AF2" s="238" t="s">
        <v>59</v>
      </c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Z2" s="238" t="s">
        <v>59</v>
      </c>
      <c r="BA2" s="238"/>
      <c r="BB2" s="238"/>
      <c r="BC2" s="238"/>
      <c r="BD2" s="238"/>
      <c r="BE2" s="238"/>
      <c r="BF2" s="238"/>
      <c r="BG2" s="238"/>
      <c r="BH2" s="238"/>
      <c r="BI2" s="238"/>
      <c r="BJ2" s="238"/>
      <c r="BK2" s="238"/>
      <c r="BL2" s="238"/>
      <c r="BM2" s="238"/>
      <c r="BN2" s="238"/>
      <c r="BT2" s="238" t="s">
        <v>59</v>
      </c>
      <c r="BU2" s="238"/>
      <c r="BV2" s="238"/>
      <c r="BW2" s="238"/>
      <c r="BX2" s="238"/>
      <c r="BY2" s="238"/>
      <c r="BZ2" s="238"/>
      <c r="CA2" s="238"/>
      <c r="CB2" s="238"/>
      <c r="CC2" s="238"/>
      <c r="CD2" s="238"/>
      <c r="CE2" s="238"/>
      <c r="CF2" s="238"/>
      <c r="CG2" s="238"/>
      <c r="CH2" s="238"/>
      <c r="CN2" s="238" t="s">
        <v>59</v>
      </c>
      <c r="CO2" s="238"/>
      <c r="CP2" s="238"/>
      <c r="CQ2" s="238"/>
      <c r="CR2" s="238"/>
      <c r="CS2" s="238"/>
      <c r="CT2" s="238"/>
      <c r="CU2" s="238"/>
      <c r="CV2" s="238"/>
      <c r="CW2" s="238"/>
      <c r="CX2" s="238"/>
      <c r="CY2" s="238"/>
      <c r="CZ2" s="238"/>
      <c r="DA2" s="238"/>
      <c r="DB2" s="238"/>
    </row>
    <row r="3" spans="7:106" ht="45" customHeight="1">
      <c r="J3" s="58">
        <v>0</v>
      </c>
      <c r="K3" s="58">
        <v>1</v>
      </c>
      <c r="L3" s="58">
        <v>2</v>
      </c>
      <c r="M3" s="58">
        <v>3</v>
      </c>
      <c r="N3" s="58">
        <v>4</v>
      </c>
      <c r="O3" s="58">
        <v>5</v>
      </c>
      <c r="P3" s="58">
        <v>6</v>
      </c>
      <c r="Q3" s="58">
        <v>7</v>
      </c>
      <c r="R3" s="58">
        <v>8</v>
      </c>
      <c r="S3" s="58">
        <v>9</v>
      </c>
      <c r="T3" s="58">
        <v>10</v>
      </c>
      <c r="U3" s="58">
        <v>11</v>
      </c>
      <c r="V3" s="58">
        <v>12</v>
      </c>
      <c r="W3" s="58">
        <v>13</v>
      </c>
      <c r="X3" s="58">
        <v>14</v>
      </c>
      <c r="AF3" s="58">
        <v>0</v>
      </c>
      <c r="AG3" s="58">
        <v>1</v>
      </c>
      <c r="AH3" s="58">
        <v>2</v>
      </c>
      <c r="AI3" s="58">
        <v>3</v>
      </c>
      <c r="AJ3" s="58">
        <v>4</v>
      </c>
      <c r="AK3" s="58">
        <v>5</v>
      </c>
      <c r="AL3" s="58">
        <v>6</v>
      </c>
      <c r="AM3" s="58">
        <v>7</v>
      </c>
      <c r="AN3" s="58">
        <v>8</v>
      </c>
      <c r="AO3" s="58">
        <v>9</v>
      </c>
      <c r="AP3" s="58">
        <v>10</v>
      </c>
      <c r="AQ3" s="58">
        <v>11</v>
      </c>
      <c r="AR3" s="58">
        <v>12</v>
      </c>
      <c r="AS3" s="58">
        <v>13</v>
      </c>
      <c r="AT3" s="58">
        <v>14</v>
      </c>
      <c r="AZ3" s="58">
        <v>0</v>
      </c>
      <c r="BA3" s="58">
        <v>1</v>
      </c>
      <c r="BB3" s="58">
        <v>2</v>
      </c>
      <c r="BC3" s="58">
        <v>3</v>
      </c>
      <c r="BD3" s="58">
        <v>4</v>
      </c>
      <c r="BE3" s="58">
        <v>5</v>
      </c>
      <c r="BF3" s="58">
        <v>6</v>
      </c>
      <c r="BG3" s="58">
        <v>7</v>
      </c>
      <c r="BH3" s="58">
        <v>8</v>
      </c>
      <c r="BI3" s="58">
        <v>9</v>
      </c>
      <c r="BJ3" s="58">
        <v>10</v>
      </c>
      <c r="BK3" s="58">
        <v>11</v>
      </c>
      <c r="BL3" s="58">
        <v>12</v>
      </c>
      <c r="BM3" s="58">
        <v>13</v>
      </c>
      <c r="BN3" s="58">
        <v>14</v>
      </c>
      <c r="BT3" s="58">
        <v>0</v>
      </c>
      <c r="BU3" s="58">
        <v>1</v>
      </c>
      <c r="BV3" s="58">
        <v>2</v>
      </c>
      <c r="BW3" s="58">
        <v>3</v>
      </c>
      <c r="BX3" s="58">
        <v>4</v>
      </c>
      <c r="BY3" s="58">
        <v>5</v>
      </c>
      <c r="BZ3" s="58">
        <v>6</v>
      </c>
      <c r="CA3" s="58">
        <v>7</v>
      </c>
      <c r="CB3" s="58">
        <v>8</v>
      </c>
      <c r="CC3" s="58">
        <v>9</v>
      </c>
      <c r="CD3" s="58">
        <v>10</v>
      </c>
      <c r="CE3" s="58">
        <v>11</v>
      </c>
      <c r="CF3" s="58">
        <v>12</v>
      </c>
      <c r="CG3" s="58">
        <v>13</v>
      </c>
      <c r="CH3" s="58">
        <v>14</v>
      </c>
      <c r="CN3" s="58">
        <v>0</v>
      </c>
      <c r="CO3" s="58">
        <v>1</v>
      </c>
      <c r="CP3" s="58">
        <v>2</v>
      </c>
      <c r="CQ3" s="58">
        <v>3</v>
      </c>
      <c r="CR3" s="58">
        <v>4</v>
      </c>
      <c r="CS3" s="58">
        <v>5</v>
      </c>
      <c r="CT3" s="58">
        <v>6</v>
      </c>
      <c r="CU3" s="58">
        <v>7</v>
      </c>
      <c r="CV3" s="58">
        <v>8</v>
      </c>
      <c r="CW3" s="58">
        <v>9</v>
      </c>
      <c r="CX3" s="58">
        <v>10</v>
      </c>
      <c r="CY3" s="58">
        <v>11</v>
      </c>
      <c r="CZ3" s="58">
        <v>12</v>
      </c>
      <c r="DA3" s="58">
        <v>13</v>
      </c>
      <c r="DB3" s="58">
        <v>14</v>
      </c>
    </row>
    <row r="4" spans="7:106" ht="45" customHeight="1">
      <c r="J4" s="59">
        <v>-7</v>
      </c>
      <c r="K4" s="59">
        <v>-6</v>
      </c>
      <c r="L4" s="59">
        <v>-5</v>
      </c>
      <c r="M4" s="59">
        <v>-4</v>
      </c>
      <c r="N4" s="59">
        <v>-3</v>
      </c>
      <c r="O4" s="59">
        <v>-2</v>
      </c>
      <c r="P4" s="59">
        <v>-1</v>
      </c>
      <c r="Q4" s="59">
        <v>0</v>
      </c>
      <c r="R4" s="59">
        <v>1</v>
      </c>
      <c r="S4" s="59">
        <v>2</v>
      </c>
      <c r="T4" s="59">
        <v>3</v>
      </c>
      <c r="U4" s="59">
        <v>4</v>
      </c>
      <c r="V4" s="59">
        <v>5</v>
      </c>
      <c r="W4" s="59">
        <v>6</v>
      </c>
      <c r="X4" s="59">
        <v>7</v>
      </c>
      <c r="AF4" s="59">
        <v>-7</v>
      </c>
      <c r="AG4" s="59">
        <v>-6</v>
      </c>
      <c r="AH4" s="59">
        <v>-5</v>
      </c>
      <c r="AI4" s="59">
        <v>-4</v>
      </c>
      <c r="AJ4" s="59">
        <v>-3</v>
      </c>
      <c r="AK4" s="59">
        <v>-2</v>
      </c>
      <c r="AL4" s="59">
        <v>-1</v>
      </c>
      <c r="AM4" s="59">
        <v>0</v>
      </c>
      <c r="AN4" s="59">
        <v>1</v>
      </c>
      <c r="AO4" s="59">
        <v>2</v>
      </c>
      <c r="AP4" s="59">
        <v>3</v>
      </c>
      <c r="AQ4" s="59">
        <v>4</v>
      </c>
      <c r="AR4" s="59">
        <v>5</v>
      </c>
      <c r="AS4" s="59">
        <v>6</v>
      </c>
      <c r="AT4" s="59">
        <v>7</v>
      </c>
      <c r="AZ4" s="59">
        <v>-7</v>
      </c>
      <c r="BA4" s="59">
        <v>-6</v>
      </c>
      <c r="BB4" s="59">
        <v>-5</v>
      </c>
      <c r="BC4" s="59">
        <v>-4</v>
      </c>
      <c r="BD4" s="59">
        <v>-3</v>
      </c>
      <c r="BE4" s="59">
        <v>-2</v>
      </c>
      <c r="BF4" s="59">
        <v>-1</v>
      </c>
      <c r="BG4" s="59">
        <v>0</v>
      </c>
      <c r="BH4" s="59">
        <v>1</v>
      </c>
      <c r="BI4" s="59">
        <v>2</v>
      </c>
      <c r="BJ4" s="59">
        <v>3</v>
      </c>
      <c r="BK4" s="59">
        <v>4</v>
      </c>
      <c r="BL4" s="59">
        <v>5</v>
      </c>
      <c r="BM4" s="59">
        <v>6</v>
      </c>
      <c r="BN4" s="59">
        <v>7</v>
      </c>
      <c r="BT4" s="59">
        <v>-7</v>
      </c>
      <c r="BU4" s="59">
        <v>-6</v>
      </c>
      <c r="BV4" s="59">
        <v>-5</v>
      </c>
      <c r="BW4" s="59">
        <v>-4</v>
      </c>
      <c r="BX4" s="59">
        <v>-3</v>
      </c>
      <c r="BY4" s="59">
        <v>-2</v>
      </c>
      <c r="BZ4" s="59">
        <v>-1</v>
      </c>
      <c r="CA4" s="59">
        <v>0</v>
      </c>
      <c r="CB4" s="59">
        <v>1</v>
      </c>
      <c r="CC4" s="59">
        <v>2</v>
      </c>
      <c r="CD4" s="59">
        <v>3</v>
      </c>
      <c r="CE4" s="59">
        <v>4</v>
      </c>
      <c r="CF4" s="59">
        <v>5</v>
      </c>
      <c r="CG4" s="59">
        <v>6</v>
      </c>
      <c r="CH4" s="59">
        <v>7</v>
      </c>
      <c r="CN4" s="59">
        <v>-7</v>
      </c>
      <c r="CO4" s="59">
        <v>-6</v>
      </c>
      <c r="CP4" s="59">
        <v>-5</v>
      </c>
      <c r="CQ4" s="59">
        <v>-4</v>
      </c>
      <c r="CR4" s="59">
        <v>-3</v>
      </c>
      <c r="CS4" s="59">
        <v>-2</v>
      </c>
      <c r="CT4" s="59">
        <v>-1</v>
      </c>
      <c r="CU4" s="59">
        <v>0</v>
      </c>
      <c r="CV4" s="59">
        <v>1</v>
      </c>
      <c r="CW4" s="59">
        <v>2</v>
      </c>
      <c r="CX4" s="59">
        <v>3</v>
      </c>
      <c r="CY4" s="59">
        <v>4</v>
      </c>
      <c r="CZ4" s="59">
        <v>5</v>
      </c>
      <c r="DA4" s="59">
        <v>6</v>
      </c>
      <c r="DB4" s="59">
        <v>7</v>
      </c>
    </row>
    <row r="5" spans="7:106" ht="45" customHeight="1">
      <c r="G5" s="239" t="s">
        <v>60</v>
      </c>
      <c r="H5" s="58">
        <v>10</v>
      </c>
      <c r="I5" s="60">
        <v>5</v>
      </c>
      <c r="AC5" s="239" t="s">
        <v>60</v>
      </c>
      <c r="AD5" s="58">
        <v>10</v>
      </c>
      <c r="AE5" s="60">
        <v>5</v>
      </c>
      <c r="AW5" s="239" t="s">
        <v>60</v>
      </c>
      <c r="AX5" s="58">
        <v>10</v>
      </c>
      <c r="AY5" s="60">
        <v>5</v>
      </c>
      <c r="BQ5" s="239" t="s">
        <v>60</v>
      </c>
      <c r="BR5" s="58">
        <v>10</v>
      </c>
      <c r="BS5" s="60">
        <v>5</v>
      </c>
      <c r="CK5" s="239" t="s">
        <v>60</v>
      </c>
      <c r="CL5" s="58">
        <v>10</v>
      </c>
      <c r="CM5" s="60">
        <v>5</v>
      </c>
    </row>
    <row r="6" spans="7:106" ht="45" customHeight="1">
      <c r="G6" s="239"/>
      <c r="H6" s="58">
        <v>9</v>
      </c>
      <c r="I6" s="60">
        <v>4</v>
      </c>
      <c r="K6" s="37"/>
      <c r="L6" s="37"/>
      <c r="M6" s="37"/>
      <c r="N6" s="54"/>
      <c r="O6" s="54"/>
      <c r="P6" s="54"/>
      <c r="Q6" s="54">
        <v>1</v>
      </c>
      <c r="R6" s="54">
        <v>2</v>
      </c>
      <c r="S6" s="54">
        <v>3</v>
      </c>
      <c r="T6" s="54">
        <v>4</v>
      </c>
      <c r="U6" s="37"/>
      <c r="V6" s="37"/>
      <c r="W6" s="37"/>
      <c r="AC6" s="239"/>
      <c r="AD6" s="58">
        <v>9</v>
      </c>
      <c r="AE6" s="60">
        <v>4</v>
      </c>
      <c r="AG6" s="37"/>
      <c r="AH6" s="37"/>
      <c r="AI6" s="37"/>
      <c r="AJ6" s="54"/>
      <c r="AK6" s="54"/>
      <c r="AL6" s="54"/>
      <c r="AM6" s="54"/>
      <c r="AN6" s="54"/>
      <c r="AO6" s="54"/>
      <c r="AP6" s="54"/>
      <c r="AQ6" s="37"/>
      <c r="AR6" s="37"/>
      <c r="AS6" s="37"/>
      <c r="AW6" s="239"/>
      <c r="AX6" s="58">
        <v>9</v>
      </c>
      <c r="AY6" s="60">
        <v>4</v>
      </c>
      <c r="BA6" s="37"/>
      <c r="BB6" s="37"/>
      <c r="BC6" s="37"/>
      <c r="BD6" s="54"/>
      <c r="BE6" s="54"/>
      <c r="BF6" s="54"/>
      <c r="BG6" s="54"/>
      <c r="BH6" s="54"/>
      <c r="BI6" s="54"/>
      <c r="BJ6" s="54"/>
      <c r="BK6" s="37"/>
      <c r="BL6" s="37"/>
      <c r="BM6" s="37"/>
      <c r="BQ6" s="239"/>
      <c r="BR6" s="58">
        <v>9</v>
      </c>
      <c r="BS6" s="60">
        <v>4</v>
      </c>
      <c r="BU6" s="37"/>
      <c r="BV6" s="37"/>
      <c r="BW6" s="37"/>
      <c r="BX6" s="54"/>
      <c r="BY6" s="54"/>
      <c r="BZ6" s="54"/>
      <c r="CA6" s="54"/>
      <c r="CB6" s="54"/>
      <c r="CC6" s="54"/>
      <c r="CD6" s="54"/>
      <c r="CE6" s="37"/>
      <c r="CF6" s="37"/>
      <c r="CG6" s="37"/>
      <c r="CK6" s="239"/>
      <c r="CL6" s="58">
        <v>9</v>
      </c>
      <c r="CM6" s="60">
        <v>4</v>
      </c>
      <c r="CO6" s="37"/>
      <c r="CP6" s="37"/>
      <c r="CQ6" s="37"/>
      <c r="CR6" s="54"/>
      <c r="CS6" s="54"/>
      <c r="CT6" s="54"/>
      <c r="CU6" s="54"/>
      <c r="CV6" s="54"/>
      <c r="CW6" s="54"/>
      <c r="CX6" s="54"/>
      <c r="CY6" s="37"/>
      <c r="CZ6" s="37"/>
      <c r="DA6" s="37"/>
    </row>
    <row r="7" spans="7:106" ht="45" customHeight="1">
      <c r="G7" s="239"/>
      <c r="H7" s="58">
        <v>8</v>
      </c>
      <c r="I7" s="60">
        <v>3</v>
      </c>
      <c r="K7" s="37"/>
      <c r="L7" s="61"/>
      <c r="M7" s="38"/>
      <c r="N7" s="38"/>
      <c r="O7" s="38">
        <v>8</v>
      </c>
      <c r="P7" s="38">
        <v>9</v>
      </c>
      <c r="Q7" s="38">
        <v>10</v>
      </c>
      <c r="R7" s="38">
        <v>11</v>
      </c>
      <c r="S7" s="38">
        <v>12</v>
      </c>
      <c r="T7" s="38">
        <v>13</v>
      </c>
      <c r="U7" s="38">
        <v>14</v>
      </c>
      <c r="V7" s="38">
        <v>15</v>
      </c>
      <c r="W7" s="37"/>
      <c r="AC7" s="239"/>
      <c r="AD7" s="58">
        <v>8</v>
      </c>
      <c r="AE7" s="60">
        <v>3</v>
      </c>
      <c r="AG7" s="37"/>
      <c r="AH7" s="63"/>
      <c r="AI7" s="66"/>
      <c r="AJ7" s="66"/>
      <c r="AK7" s="67">
        <f>'Slot 7 '!E5</f>
        <v>3.8016985390000002</v>
      </c>
      <c r="AL7" s="66"/>
      <c r="AM7" s="66"/>
      <c r="AN7" s="66"/>
      <c r="AO7" s="67">
        <f>'Slot 7 '!E6</f>
        <v>4.5594943580000002</v>
      </c>
      <c r="AP7" s="66"/>
      <c r="AQ7" s="66"/>
      <c r="AR7" s="64"/>
      <c r="AS7" s="65"/>
      <c r="AW7" s="239"/>
      <c r="AX7" s="58">
        <v>8</v>
      </c>
      <c r="AY7" s="60">
        <v>3</v>
      </c>
      <c r="BA7" s="37"/>
      <c r="BB7" s="63"/>
      <c r="BC7" s="66"/>
      <c r="BD7" s="66"/>
      <c r="BE7" s="67"/>
      <c r="BF7" s="66"/>
      <c r="BG7" s="66"/>
      <c r="BH7" s="66"/>
      <c r="BI7" s="67"/>
      <c r="BJ7" s="66"/>
      <c r="BK7" s="66"/>
      <c r="BL7" s="64"/>
      <c r="BM7" s="65"/>
      <c r="BQ7" s="239"/>
      <c r="BR7" s="58">
        <v>8</v>
      </c>
      <c r="BS7" s="60">
        <v>3</v>
      </c>
      <c r="BU7" s="37"/>
      <c r="BV7" s="63"/>
      <c r="BW7" s="66"/>
      <c r="BX7" s="66"/>
      <c r="BY7" s="67"/>
      <c r="BZ7" s="66"/>
      <c r="CA7" s="67">
        <f>'Slot 12'!E5</f>
        <v>3.0386560579999999</v>
      </c>
      <c r="CB7" s="66"/>
      <c r="CC7" s="67"/>
      <c r="CD7" s="66"/>
      <c r="CE7" s="66"/>
      <c r="CF7" s="64"/>
      <c r="CG7" s="65"/>
      <c r="CK7" s="239"/>
      <c r="CL7" s="58">
        <v>8</v>
      </c>
      <c r="CM7" s="60">
        <v>3</v>
      </c>
      <c r="CO7" s="37"/>
      <c r="CP7" s="63"/>
      <c r="CQ7" s="66"/>
      <c r="CR7" s="66"/>
      <c r="CS7" s="67"/>
      <c r="CT7" s="66"/>
      <c r="CU7" s="67">
        <f>'Slot 15'!E5</f>
        <v>3.5583071130000001</v>
      </c>
      <c r="CV7" s="66"/>
      <c r="CW7" s="67"/>
      <c r="CX7" s="66"/>
      <c r="CY7" s="66"/>
      <c r="CZ7" s="64"/>
      <c r="DA7" s="65"/>
    </row>
    <row r="8" spans="7:106" ht="45" customHeight="1">
      <c r="G8" s="239"/>
      <c r="H8" s="58">
        <v>7</v>
      </c>
      <c r="I8" s="60">
        <v>2</v>
      </c>
      <c r="K8" s="38"/>
      <c r="L8" s="61"/>
      <c r="M8" s="38"/>
      <c r="N8" s="74">
        <v>19</v>
      </c>
      <c r="O8" s="74">
        <v>20</v>
      </c>
      <c r="P8" s="74">
        <v>21</v>
      </c>
      <c r="Q8" s="74">
        <v>22</v>
      </c>
      <c r="R8" s="74">
        <v>23</v>
      </c>
      <c r="S8" s="74">
        <v>24</v>
      </c>
      <c r="T8" s="74">
        <v>25</v>
      </c>
      <c r="U8" s="74">
        <v>26</v>
      </c>
      <c r="V8" s="74">
        <v>27</v>
      </c>
      <c r="W8" s="77">
        <v>28</v>
      </c>
      <c r="AC8" s="239"/>
      <c r="AD8" s="58">
        <v>7</v>
      </c>
      <c r="AE8" s="60">
        <v>2</v>
      </c>
      <c r="AG8" s="38"/>
      <c r="AH8" s="63"/>
      <c r="AI8" s="66"/>
      <c r="AJ8" s="66"/>
      <c r="AK8" s="66"/>
      <c r="AL8" s="66"/>
      <c r="AM8" s="67"/>
      <c r="AN8" s="66"/>
      <c r="AO8" s="66"/>
      <c r="AP8" s="66"/>
      <c r="AQ8" s="66"/>
      <c r="AR8" s="64"/>
      <c r="AS8" s="68"/>
      <c r="AW8" s="239"/>
      <c r="AX8" s="58">
        <v>7</v>
      </c>
      <c r="AY8" s="60">
        <v>2</v>
      </c>
      <c r="BA8" s="38"/>
      <c r="BB8" s="63"/>
      <c r="BC8" s="66"/>
      <c r="BD8" s="66"/>
      <c r="BE8" s="66"/>
      <c r="BF8" s="66"/>
      <c r="BG8" s="67"/>
      <c r="BH8" s="66"/>
      <c r="BI8" s="66"/>
      <c r="BJ8" s="66"/>
      <c r="BK8" s="66"/>
      <c r="BL8" s="64"/>
      <c r="BM8" s="68"/>
      <c r="BQ8" s="239"/>
      <c r="BR8" s="58">
        <v>7</v>
      </c>
      <c r="BS8" s="60">
        <v>2</v>
      </c>
      <c r="BU8" s="38"/>
      <c r="BV8" s="63"/>
      <c r="BW8" s="66"/>
      <c r="BX8" s="66"/>
      <c r="BY8" s="66"/>
      <c r="BZ8" s="66"/>
      <c r="CA8" s="67"/>
      <c r="CB8" s="66"/>
      <c r="CC8" s="66"/>
      <c r="CD8" s="66"/>
      <c r="CE8" s="66"/>
      <c r="CF8" s="64"/>
      <c r="CG8" s="68"/>
      <c r="CK8" s="239"/>
      <c r="CL8" s="58">
        <v>7</v>
      </c>
      <c r="CM8" s="60">
        <v>2</v>
      </c>
      <c r="CO8" s="38"/>
      <c r="CP8" s="63"/>
      <c r="CQ8" s="66"/>
      <c r="CR8" s="66"/>
      <c r="CS8" s="66"/>
      <c r="CT8" s="66"/>
      <c r="CU8" s="67"/>
      <c r="CV8" s="66"/>
      <c r="CW8" s="66"/>
      <c r="CX8" s="66"/>
      <c r="CY8" s="66"/>
      <c r="CZ8" s="64"/>
      <c r="DA8" s="68"/>
    </row>
    <row r="9" spans="7:106" ht="45" customHeight="1">
      <c r="G9" s="239"/>
      <c r="H9" s="58">
        <v>6</v>
      </c>
      <c r="I9" s="60">
        <v>1</v>
      </c>
      <c r="K9" s="38"/>
      <c r="L9" s="61"/>
      <c r="M9" s="38"/>
      <c r="N9" s="74">
        <v>32</v>
      </c>
      <c r="O9" s="74">
        <v>33</v>
      </c>
      <c r="P9" s="74">
        <v>34</v>
      </c>
      <c r="Q9" s="74">
        <v>35</v>
      </c>
      <c r="R9" s="74">
        <v>36</v>
      </c>
      <c r="S9" s="74">
        <v>37</v>
      </c>
      <c r="T9" s="74">
        <v>38</v>
      </c>
      <c r="U9" s="74">
        <v>39</v>
      </c>
      <c r="V9" s="74">
        <v>40</v>
      </c>
      <c r="W9" s="74">
        <v>41</v>
      </c>
      <c r="AC9" s="239"/>
      <c r="AD9" s="58">
        <v>6</v>
      </c>
      <c r="AE9" s="60">
        <v>1</v>
      </c>
      <c r="AG9" s="38"/>
      <c r="AH9" s="63"/>
      <c r="AI9" s="66"/>
      <c r="AJ9" s="66"/>
      <c r="AK9" s="67">
        <f>'Slot 7 '!E8</f>
        <v>3.9804322679999999</v>
      </c>
      <c r="AL9" s="66"/>
      <c r="AM9" s="67">
        <f>'Slot 7 '!E9</f>
        <v>4.9293884849999996</v>
      </c>
      <c r="AN9" s="66"/>
      <c r="AO9" s="66"/>
      <c r="AP9" s="66"/>
      <c r="AQ9" s="66"/>
      <c r="AR9" s="64"/>
      <c r="AS9" s="78">
        <f>'Slot 7 '!E11</f>
        <v>4.7918199350000004</v>
      </c>
      <c r="AW9" s="239"/>
      <c r="AX9" s="58">
        <v>6</v>
      </c>
      <c r="AY9" s="60">
        <v>1</v>
      </c>
      <c r="BA9" s="38"/>
      <c r="BB9" s="63"/>
      <c r="BC9" s="66"/>
      <c r="BD9" s="66"/>
      <c r="BE9" s="67">
        <f>'Slot 11'!E6</f>
        <v>4.9059561153155986</v>
      </c>
      <c r="BF9" s="66"/>
      <c r="BG9" s="67">
        <f>'Slot 11'!E7</f>
        <v>5.0255103214567178</v>
      </c>
      <c r="BH9" s="66"/>
      <c r="BI9" s="67">
        <f>'Slot 11'!E8</f>
        <v>5.6724267375450532</v>
      </c>
      <c r="BJ9" s="66"/>
      <c r="BK9" s="66"/>
      <c r="BL9" s="64"/>
      <c r="BM9" s="78"/>
      <c r="BQ9" s="239"/>
      <c r="BR9" s="58">
        <v>6</v>
      </c>
      <c r="BS9" s="60">
        <v>1</v>
      </c>
      <c r="BU9" s="38"/>
      <c r="BV9" s="63"/>
      <c r="BW9" s="66"/>
      <c r="BX9" s="66"/>
      <c r="BY9" s="67"/>
      <c r="BZ9" s="66"/>
      <c r="CA9" s="67"/>
      <c r="CB9" s="66"/>
      <c r="CC9" s="66"/>
      <c r="CD9" s="66"/>
      <c r="CE9" s="67">
        <f>'Slot 12'!E8</f>
        <v>6.8878791560000003</v>
      </c>
      <c r="CF9" s="64"/>
      <c r="CG9" s="78"/>
      <c r="CK9" s="239"/>
      <c r="CL9" s="58">
        <v>6</v>
      </c>
      <c r="CM9" s="60">
        <v>1</v>
      </c>
      <c r="CO9" s="38"/>
      <c r="CP9" s="63"/>
      <c r="CQ9" s="66"/>
      <c r="CR9" s="66"/>
      <c r="CS9" s="67"/>
      <c r="CT9" s="66"/>
      <c r="CU9" s="67"/>
      <c r="CV9" s="66"/>
      <c r="CW9" s="66"/>
      <c r="CX9" s="66"/>
      <c r="CY9" s="66"/>
      <c r="CZ9" s="64"/>
      <c r="DA9" s="78"/>
    </row>
    <row r="10" spans="7:106" ht="45" customHeight="1">
      <c r="G10" s="239"/>
      <c r="H10" s="58">
        <v>5</v>
      </c>
      <c r="I10" s="60">
        <v>0</v>
      </c>
      <c r="K10" s="38"/>
      <c r="L10" s="61"/>
      <c r="M10" s="38"/>
      <c r="N10" s="74">
        <v>45</v>
      </c>
      <c r="O10" s="74">
        <v>46</v>
      </c>
      <c r="P10" s="74">
        <v>47</v>
      </c>
      <c r="Q10" s="74">
        <v>48</v>
      </c>
      <c r="R10" s="74">
        <v>49</v>
      </c>
      <c r="S10" s="74">
        <v>50</v>
      </c>
      <c r="T10" s="74">
        <v>51</v>
      </c>
      <c r="U10" s="74">
        <v>52</v>
      </c>
      <c r="V10" s="74">
        <v>53</v>
      </c>
      <c r="W10" s="62">
        <v>54</v>
      </c>
      <c r="AC10" s="239"/>
      <c r="AD10" s="58">
        <v>5</v>
      </c>
      <c r="AE10" s="60">
        <v>0</v>
      </c>
      <c r="AG10" s="38"/>
      <c r="AH10" s="63"/>
      <c r="AI10" s="66"/>
      <c r="AJ10" s="67"/>
      <c r="AK10" s="66"/>
      <c r="AL10" s="66"/>
      <c r="AM10" s="66"/>
      <c r="AN10" s="67"/>
      <c r="AO10" s="66"/>
      <c r="AP10" s="66"/>
      <c r="AQ10" s="66"/>
      <c r="AR10" s="69"/>
      <c r="AS10" s="68"/>
      <c r="AW10" s="239"/>
      <c r="AX10" s="58">
        <v>5</v>
      </c>
      <c r="AY10" s="60">
        <v>0</v>
      </c>
      <c r="BA10" s="38"/>
      <c r="BB10" s="63"/>
      <c r="BC10" s="66"/>
      <c r="BD10" s="67"/>
      <c r="BE10" s="66"/>
      <c r="BF10" s="67">
        <f>'Slot 11'!E9</f>
        <v>5.0594240734837292</v>
      </c>
      <c r="BG10" s="66"/>
      <c r="BH10" s="67"/>
      <c r="BI10" s="66"/>
      <c r="BJ10" s="66"/>
      <c r="BK10" s="66"/>
      <c r="BL10" s="69"/>
      <c r="BM10" s="78">
        <f>'Slot 11'!E10</f>
        <v>4.5212135921007519</v>
      </c>
      <c r="BQ10" s="239"/>
      <c r="BR10" s="58">
        <v>5</v>
      </c>
      <c r="BS10" s="60">
        <v>0</v>
      </c>
      <c r="BU10" s="38"/>
      <c r="BV10" s="63"/>
      <c r="BW10" s="66"/>
      <c r="BX10" s="67"/>
      <c r="BY10" s="66"/>
      <c r="BZ10" s="66"/>
      <c r="CA10" s="67">
        <f>'Slot 12'!E9</f>
        <v>4.9315566400000002</v>
      </c>
      <c r="CB10" s="67"/>
      <c r="CC10" s="66"/>
      <c r="CD10" s="67">
        <f>'Slot 12'!E10</f>
        <v>6.2792691490000001</v>
      </c>
      <c r="CE10" s="66"/>
      <c r="CF10" s="69"/>
      <c r="CG10" s="78">
        <f>'Slot 12'!E11</f>
        <v>3.4768161219999998</v>
      </c>
      <c r="CK10" s="239"/>
      <c r="CL10" s="58">
        <v>5</v>
      </c>
      <c r="CM10" s="60">
        <v>0</v>
      </c>
      <c r="CO10" s="38"/>
      <c r="CP10" s="63"/>
      <c r="CQ10" s="66"/>
      <c r="CR10" s="67">
        <f>'Slot 15'!E9</f>
        <v>3.1316735019999999</v>
      </c>
      <c r="CS10" s="66"/>
      <c r="CT10" s="66"/>
      <c r="CU10" s="67">
        <f>'Slot 15'!E10</f>
        <v>5.9847797619999996</v>
      </c>
      <c r="CV10" s="67"/>
      <c r="CW10" s="66"/>
      <c r="CX10" s="66"/>
      <c r="CY10" s="66"/>
      <c r="CZ10" s="69"/>
      <c r="DA10" s="78">
        <f>'Slot 15'!E12</f>
        <v>5.9680225289999997</v>
      </c>
    </row>
    <row r="11" spans="7:106" ht="45" customHeight="1">
      <c r="G11" s="239"/>
      <c r="H11" s="58">
        <v>4</v>
      </c>
      <c r="I11" s="60">
        <v>-1</v>
      </c>
      <c r="K11" s="38"/>
      <c r="L11" s="61"/>
      <c r="M11" s="38"/>
      <c r="N11" s="74">
        <v>58</v>
      </c>
      <c r="O11" s="74">
        <v>59</v>
      </c>
      <c r="P11" s="74">
        <v>60</v>
      </c>
      <c r="Q11" s="74">
        <v>61</v>
      </c>
      <c r="R11" s="74">
        <v>62</v>
      </c>
      <c r="S11" s="74">
        <v>63</v>
      </c>
      <c r="T11" s="74">
        <v>64</v>
      </c>
      <c r="U11" s="74">
        <v>65</v>
      </c>
      <c r="V11" s="74">
        <v>66</v>
      </c>
      <c r="W11" s="62">
        <v>67</v>
      </c>
      <c r="AC11" s="239"/>
      <c r="AD11" s="58">
        <v>4</v>
      </c>
      <c r="AE11" s="60">
        <v>-1</v>
      </c>
      <c r="AG11" s="38"/>
      <c r="AH11" s="63"/>
      <c r="AI11" s="66"/>
      <c r="AJ11" s="66"/>
      <c r="AK11" s="67">
        <f>'Slot 7 '!E12</f>
        <v>4.6096069079999999</v>
      </c>
      <c r="AL11" s="66"/>
      <c r="AM11" s="66"/>
      <c r="AN11" s="66"/>
      <c r="AO11" s="66"/>
      <c r="AP11" s="66"/>
      <c r="AQ11" s="66"/>
      <c r="AR11" s="64"/>
      <c r="AS11" s="68"/>
      <c r="AW11" s="239"/>
      <c r="AX11" s="58">
        <v>4</v>
      </c>
      <c r="AY11" s="60">
        <v>-1</v>
      </c>
      <c r="BA11" s="38"/>
      <c r="BB11" s="63"/>
      <c r="BC11" s="66"/>
      <c r="BD11" s="67">
        <f>'Slot 11'!E11</f>
        <v>4.9321930232132321</v>
      </c>
      <c r="BE11" s="67"/>
      <c r="BF11" s="66"/>
      <c r="BG11" s="66"/>
      <c r="BH11" s="66"/>
      <c r="BI11" s="66"/>
      <c r="BJ11" s="66"/>
      <c r="BK11" s="66"/>
      <c r="BL11" s="64"/>
      <c r="BM11" s="68"/>
      <c r="BQ11" s="239"/>
      <c r="BR11" s="58">
        <v>4</v>
      </c>
      <c r="BS11" s="60">
        <v>-1</v>
      </c>
      <c r="BU11" s="38"/>
      <c r="BV11" s="63"/>
      <c r="BW11" s="66"/>
      <c r="BX11" s="66"/>
      <c r="BY11" s="67"/>
      <c r="BZ11" s="66"/>
      <c r="CA11" s="66"/>
      <c r="CB11" s="66"/>
      <c r="CC11" s="67">
        <f>'Slot 12'!E12</f>
        <v>5.2923086369999996</v>
      </c>
      <c r="CD11" s="66"/>
      <c r="CE11" s="66"/>
      <c r="CF11" s="64"/>
      <c r="CG11" s="68"/>
      <c r="CK11" s="239"/>
      <c r="CL11" s="58">
        <v>4</v>
      </c>
      <c r="CM11" s="60">
        <v>-1</v>
      </c>
      <c r="CO11" s="38"/>
      <c r="CP11" s="63"/>
      <c r="CQ11" s="66"/>
      <c r="CR11" s="66"/>
      <c r="CS11" s="67"/>
      <c r="CT11" s="66"/>
      <c r="CU11" s="66"/>
      <c r="CV11" s="66"/>
      <c r="CW11" s="67">
        <f>'Slot 15'!E13</f>
        <v>6.9911105759999996</v>
      </c>
      <c r="CX11" s="66"/>
      <c r="CY11" s="66"/>
      <c r="CZ11" s="64"/>
      <c r="DA11" s="68"/>
    </row>
    <row r="12" spans="7:106" ht="45" customHeight="1">
      <c r="G12" s="239"/>
      <c r="H12" s="58">
        <v>3</v>
      </c>
      <c r="I12" s="60">
        <v>-2</v>
      </c>
      <c r="K12" s="38"/>
      <c r="L12" s="61"/>
      <c r="M12" s="38"/>
      <c r="N12" s="74">
        <v>71</v>
      </c>
      <c r="O12" s="74">
        <v>72</v>
      </c>
      <c r="P12" s="74">
        <v>73</v>
      </c>
      <c r="Q12" s="74">
        <v>74</v>
      </c>
      <c r="R12" s="74">
        <v>75</v>
      </c>
      <c r="S12" s="74">
        <v>76</v>
      </c>
      <c r="T12" s="74">
        <v>77</v>
      </c>
      <c r="U12" s="74">
        <v>78</v>
      </c>
      <c r="V12" s="74">
        <v>79</v>
      </c>
      <c r="W12" s="62">
        <v>80</v>
      </c>
      <c r="AC12" s="239"/>
      <c r="AD12" s="58">
        <v>3</v>
      </c>
      <c r="AE12" s="60">
        <v>-2</v>
      </c>
      <c r="AG12" s="38"/>
      <c r="AH12" s="63"/>
      <c r="AI12" s="66"/>
      <c r="AJ12" s="66"/>
      <c r="AK12" s="67"/>
      <c r="AL12" s="66"/>
      <c r="AM12" s="66"/>
      <c r="AN12" s="66"/>
      <c r="AO12" s="67"/>
      <c r="AP12" s="66"/>
      <c r="AQ12" s="66"/>
      <c r="AR12" s="64"/>
      <c r="AS12" s="68"/>
      <c r="AW12" s="239"/>
      <c r="AX12" s="58">
        <v>3</v>
      </c>
      <c r="AY12" s="60">
        <v>-2</v>
      </c>
      <c r="BA12" s="38"/>
      <c r="BB12" s="63"/>
      <c r="BC12" s="66"/>
      <c r="BD12" s="66"/>
      <c r="BE12" s="67"/>
      <c r="BF12" s="66"/>
      <c r="BG12" s="66"/>
      <c r="BH12" s="66"/>
      <c r="BI12" s="67">
        <f>'Slot 11'!E12</f>
        <v>5.144772327798993</v>
      </c>
      <c r="BJ12" s="66"/>
      <c r="BK12" s="66"/>
      <c r="BL12" s="64"/>
      <c r="BM12" s="68"/>
      <c r="BQ12" s="239"/>
      <c r="BR12" s="58">
        <v>3</v>
      </c>
      <c r="BS12" s="60">
        <v>-2</v>
      </c>
      <c r="BU12" s="38"/>
      <c r="BV12" s="63"/>
      <c r="BW12" s="66"/>
      <c r="BX12" s="66"/>
      <c r="BY12" s="67">
        <f>'Slot 12'!E13</f>
        <v>3.8239437550000002</v>
      </c>
      <c r="BZ12" s="66"/>
      <c r="CA12" s="66"/>
      <c r="CB12" s="66"/>
      <c r="CC12" s="67"/>
      <c r="CD12" s="66"/>
      <c r="CE12" s="67">
        <f>'Slot 12'!E14</f>
        <v>4.0410066740000001</v>
      </c>
      <c r="CF12" s="64"/>
      <c r="CG12" s="68"/>
      <c r="CK12" s="239"/>
      <c r="CL12" s="58">
        <v>3</v>
      </c>
      <c r="CM12" s="60">
        <v>-2</v>
      </c>
      <c r="CO12" s="38"/>
      <c r="CP12" s="63"/>
      <c r="CQ12" s="66"/>
      <c r="CR12" s="66"/>
      <c r="CS12" s="67">
        <f>'Slot 15'!E14</f>
        <v>4.2805663540000003</v>
      </c>
      <c r="CT12" s="66"/>
      <c r="CU12" s="66"/>
      <c r="CV12" s="66"/>
      <c r="CW12" s="67"/>
      <c r="CX12" s="66"/>
      <c r="CY12" s="67">
        <f>'Slot 15'!E15</f>
        <v>4.8450666299999998</v>
      </c>
      <c r="CZ12" s="64"/>
      <c r="DA12" s="68"/>
    </row>
    <row r="13" spans="7:106" ht="45" customHeight="1">
      <c r="G13" s="239"/>
      <c r="H13" s="58">
        <v>2</v>
      </c>
      <c r="I13" s="60">
        <v>-3</v>
      </c>
      <c r="K13" s="37"/>
      <c r="L13" s="61"/>
      <c r="M13" s="38"/>
      <c r="N13" s="74"/>
      <c r="O13" s="74">
        <v>84</v>
      </c>
      <c r="P13" s="74">
        <v>85</v>
      </c>
      <c r="Q13" s="74">
        <v>86</v>
      </c>
      <c r="R13" s="74">
        <v>87</v>
      </c>
      <c r="S13" s="74">
        <v>88</v>
      </c>
      <c r="T13" s="74">
        <v>89</v>
      </c>
      <c r="U13" s="74">
        <v>90</v>
      </c>
      <c r="V13" s="74">
        <v>91</v>
      </c>
      <c r="W13" s="37"/>
      <c r="AC13" s="239"/>
      <c r="AD13" s="58">
        <v>2</v>
      </c>
      <c r="AE13" s="60">
        <v>-3</v>
      </c>
      <c r="AG13" s="37"/>
      <c r="AH13" s="63"/>
      <c r="AI13" s="66"/>
      <c r="AJ13" s="66"/>
      <c r="AK13" s="66"/>
      <c r="AL13" s="66"/>
      <c r="AM13" s="66"/>
      <c r="AN13" s="66"/>
      <c r="AO13" s="67">
        <f>'Slot 7 '!E17</f>
        <v>4.050785952</v>
      </c>
      <c r="AP13" s="66"/>
      <c r="AQ13" s="66"/>
      <c r="AR13" s="64"/>
      <c r="AS13" s="65"/>
      <c r="AW13" s="239"/>
      <c r="AX13" s="58">
        <v>2</v>
      </c>
      <c r="AY13" s="60">
        <v>-3</v>
      </c>
      <c r="BA13" s="37"/>
      <c r="BB13" s="63"/>
      <c r="BC13" s="66"/>
      <c r="BD13" s="66"/>
      <c r="BE13" s="66"/>
      <c r="BF13" s="66"/>
      <c r="BG13" s="66"/>
      <c r="BH13" s="66"/>
      <c r="BI13" s="67"/>
      <c r="BJ13" s="67">
        <f>'Slot 11'!E13</f>
        <v>4.4133391833875422</v>
      </c>
      <c r="BK13" s="66"/>
      <c r="BL13" s="64"/>
      <c r="BM13" s="65"/>
      <c r="BQ13" s="239"/>
      <c r="BR13" s="58">
        <v>2</v>
      </c>
      <c r="BS13" s="60">
        <v>-3</v>
      </c>
      <c r="BU13" s="37"/>
      <c r="BV13" s="63"/>
      <c r="BW13" s="66"/>
      <c r="BX13" s="66"/>
      <c r="BY13" s="66"/>
      <c r="BZ13" s="66"/>
      <c r="CA13" s="66"/>
      <c r="CB13" s="66"/>
      <c r="CC13" s="67"/>
      <c r="CD13" s="66"/>
      <c r="CE13" s="66"/>
      <c r="CF13" s="64"/>
      <c r="CG13" s="65"/>
      <c r="CK13" s="239"/>
      <c r="CL13" s="58">
        <v>2</v>
      </c>
      <c r="CM13" s="60">
        <v>-3</v>
      </c>
      <c r="CO13" s="37"/>
      <c r="CP13" s="63"/>
      <c r="CQ13" s="66"/>
      <c r="CR13" s="66"/>
      <c r="CS13" s="66"/>
      <c r="CT13" s="66"/>
      <c r="CU13" s="66"/>
      <c r="CV13" s="66"/>
      <c r="CW13" s="67"/>
      <c r="CX13" s="66"/>
      <c r="CY13" s="66"/>
      <c r="CZ13" s="64"/>
      <c r="DA13" s="65"/>
    </row>
    <row r="14" spans="7:106" ht="45" customHeight="1">
      <c r="G14" s="239"/>
      <c r="H14" s="58">
        <v>1</v>
      </c>
      <c r="I14" s="60">
        <v>-4</v>
      </c>
      <c r="K14" s="37"/>
      <c r="L14" s="37"/>
      <c r="M14" s="37"/>
      <c r="N14" s="75"/>
      <c r="O14" s="75"/>
      <c r="P14" s="75"/>
      <c r="Q14" s="75">
        <v>95</v>
      </c>
      <c r="R14" s="75">
        <v>96</v>
      </c>
      <c r="S14" s="75">
        <v>97</v>
      </c>
      <c r="T14" s="75">
        <v>98</v>
      </c>
      <c r="U14" s="76"/>
      <c r="V14" s="76"/>
      <c r="W14" s="37"/>
      <c r="AC14" s="239"/>
      <c r="AD14" s="58">
        <v>1</v>
      </c>
      <c r="AE14" s="60">
        <v>-4</v>
      </c>
      <c r="AG14" s="37"/>
      <c r="AH14" s="70"/>
      <c r="AI14" s="71"/>
      <c r="AJ14" s="72"/>
      <c r="AK14" s="72"/>
      <c r="AL14" s="72"/>
      <c r="AM14" s="72"/>
      <c r="AN14" s="73"/>
      <c r="AO14" s="72"/>
      <c r="AP14" s="72"/>
      <c r="AQ14" s="71"/>
      <c r="AR14" s="71"/>
      <c r="AS14" s="65"/>
      <c r="AW14" s="239"/>
      <c r="AX14" s="58">
        <v>1</v>
      </c>
      <c r="AY14" s="60">
        <v>-4</v>
      </c>
      <c r="BA14" s="37"/>
      <c r="BB14" s="70"/>
      <c r="BC14" s="71"/>
      <c r="BD14" s="72"/>
      <c r="BE14" s="72"/>
      <c r="BF14" s="72"/>
      <c r="BG14" s="72"/>
      <c r="BH14" s="73"/>
      <c r="BI14" s="72"/>
      <c r="BJ14" s="72"/>
      <c r="BK14" s="71"/>
      <c r="BL14" s="71"/>
      <c r="BM14" s="65"/>
      <c r="BQ14" s="239"/>
      <c r="BR14" s="58">
        <v>1</v>
      </c>
      <c r="BS14" s="60">
        <v>-4</v>
      </c>
      <c r="BU14" s="37"/>
      <c r="BV14" s="70"/>
      <c r="BW14" s="71"/>
      <c r="BX14" s="72"/>
      <c r="BY14" s="72"/>
      <c r="BZ14" s="72"/>
      <c r="CA14" s="72"/>
      <c r="CB14" s="73"/>
      <c r="CC14" s="72"/>
      <c r="CD14" s="72"/>
      <c r="CE14" s="71"/>
      <c r="CF14" s="71"/>
      <c r="CG14" s="65"/>
      <c r="CK14" s="239"/>
      <c r="CL14" s="58">
        <v>1</v>
      </c>
      <c r="CM14" s="60">
        <v>-4</v>
      </c>
      <c r="CO14" s="37"/>
      <c r="CP14" s="70"/>
      <c r="CQ14" s="71"/>
      <c r="CR14" s="72"/>
      <c r="CS14" s="72"/>
      <c r="CT14" s="72"/>
      <c r="CU14" s="72"/>
      <c r="CV14" s="73"/>
      <c r="CW14" s="72"/>
      <c r="CX14" s="72"/>
      <c r="CY14" s="71"/>
      <c r="CZ14" s="71"/>
      <c r="DA14" s="65"/>
    </row>
    <row r="15" spans="7:106" ht="45" customHeight="1">
      <c r="G15" s="239"/>
      <c r="H15" s="58">
        <v>0</v>
      </c>
      <c r="I15" s="60">
        <v>-5</v>
      </c>
      <c r="AC15" s="239"/>
      <c r="AD15" s="58">
        <v>0</v>
      </c>
      <c r="AE15" s="60">
        <v>-5</v>
      </c>
      <c r="AW15" s="239"/>
      <c r="AX15" s="58">
        <v>0</v>
      </c>
      <c r="AY15" s="60">
        <v>-5</v>
      </c>
      <c r="BQ15" s="239"/>
      <c r="BR15" s="58">
        <v>0</v>
      </c>
      <c r="BS15" s="60">
        <v>-5</v>
      </c>
      <c r="CK15" s="239"/>
      <c r="CL15" s="58">
        <v>0</v>
      </c>
      <c r="CM15" s="60">
        <v>-5</v>
      </c>
    </row>
  </sheetData>
  <mergeCells count="15">
    <mergeCell ref="CN1:DB1"/>
    <mergeCell ref="CN2:DB2"/>
    <mergeCell ref="CK5:CK15"/>
    <mergeCell ref="G5:G15"/>
    <mergeCell ref="AC5:AC15"/>
    <mergeCell ref="AW5:AW15"/>
    <mergeCell ref="BQ5:BQ15"/>
    <mergeCell ref="J1:X1"/>
    <mergeCell ref="AF1:AT1"/>
    <mergeCell ref="AZ1:BN1"/>
    <mergeCell ref="BT1:CH1"/>
    <mergeCell ref="J2:X2"/>
    <mergeCell ref="AF2:AT2"/>
    <mergeCell ref="AZ2:BN2"/>
    <mergeCell ref="BT2:CH2"/>
  </mergeCells>
  <conditionalFormatting sqref="AH7:AS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7:BM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7:CG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7:DA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614B-5AAF-4A3A-866E-D778900A3A84}">
  <dimension ref="C1:AX39"/>
  <sheetViews>
    <sheetView topLeftCell="A16" zoomScale="70" zoomScaleNormal="70" workbookViewId="0">
      <selection activeCell="K20" sqref="K20"/>
    </sheetView>
    <sheetView topLeftCell="A25" zoomScale="55" zoomScaleNormal="55" workbookViewId="1">
      <selection activeCell="AK31" sqref="AK31"/>
    </sheetView>
  </sheetViews>
  <sheetFormatPr defaultColWidth="6.7109375" defaultRowHeight="45" customHeight="1"/>
  <cols>
    <col min="45" max="45" width="7.42578125" customWidth="1"/>
  </cols>
  <sheetData>
    <row r="1" spans="3:50" ht="45" customHeight="1">
      <c r="S1" t="s">
        <v>46</v>
      </c>
      <c r="W1" s="35" t="s">
        <v>47</v>
      </c>
      <c r="Y1" s="36" t="s">
        <v>48</v>
      </c>
    </row>
    <row r="2" spans="3:50" ht="45" customHeight="1">
      <c r="C2" s="37"/>
      <c r="D2" s="37"/>
      <c r="E2" s="37"/>
      <c r="F2" s="38">
        <v>1</v>
      </c>
      <c r="G2" s="38">
        <v>2</v>
      </c>
      <c r="H2" s="38">
        <v>3</v>
      </c>
      <c r="I2" s="38">
        <v>4</v>
      </c>
      <c r="J2" s="38">
        <v>5</v>
      </c>
      <c r="K2" s="38">
        <v>6</v>
      </c>
      <c r="L2" s="38">
        <v>7</v>
      </c>
      <c r="M2" s="37"/>
      <c r="N2" s="37"/>
      <c r="O2" s="37"/>
      <c r="W2" s="37"/>
      <c r="X2" s="37"/>
      <c r="Y2" s="37"/>
      <c r="Z2" s="38"/>
      <c r="AA2" s="39"/>
      <c r="AB2" s="38"/>
      <c r="AC2" s="38"/>
      <c r="AD2" s="38"/>
      <c r="AE2" s="39"/>
      <c r="AF2" s="38"/>
      <c r="AG2" s="37"/>
      <c r="AH2" s="37"/>
      <c r="AI2" s="37"/>
      <c r="AL2" s="37"/>
      <c r="AM2" s="37"/>
      <c r="AN2" s="37"/>
      <c r="AO2" s="38">
        <v>1</v>
      </c>
      <c r="AP2" s="46">
        <v>2</v>
      </c>
      <c r="AQ2" s="38">
        <v>3</v>
      </c>
      <c r="AR2" s="38">
        <v>4</v>
      </c>
      <c r="AS2" s="38">
        <v>5</v>
      </c>
      <c r="AT2" s="46">
        <v>6</v>
      </c>
      <c r="AU2" s="38">
        <v>7</v>
      </c>
      <c r="AV2" s="37"/>
      <c r="AW2" s="37"/>
      <c r="AX2" s="37"/>
    </row>
    <row r="3" spans="3:50" ht="45" customHeight="1">
      <c r="C3" s="37"/>
      <c r="D3" s="38">
        <v>8</v>
      </c>
      <c r="E3" s="38">
        <v>9</v>
      </c>
      <c r="F3" s="38">
        <v>10</v>
      </c>
      <c r="G3" s="38">
        <v>11</v>
      </c>
      <c r="H3" s="38">
        <v>12</v>
      </c>
      <c r="I3" s="38">
        <v>13</v>
      </c>
      <c r="J3" s="38">
        <v>14</v>
      </c>
      <c r="K3" s="38">
        <v>15</v>
      </c>
      <c r="L3" s="38">
        <v>16</v>
      </c>
      <c r="M3" s="38">
        <v>17</v>
      </c>
      <c r="N3" s="38">
        <v>18</v>
      </c>
      <c r="O3" s="37"/>
      <c r="W3" s="37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7"/>
      <c r="AL3" s="37"/>
      <c r="AM3" s="38">
        <v>8</v>
      </c>
      <c r="AN3" s="38">
        <v>9</v>
      </c>
      <c r="AO3" s="38">
        <v>10</v>
      </c>
      <c r="AP3" s="38">
        <v>11</v>
      </c>
      <c r="AQ3" s="38">
        <v>12</v>
      </c>
      <c r="AR3" s="38">
        <v>13</v>
      </c>
      <c r="AS3" s="38">
        <v>14</v>
      </c>
      <c r="AT3" s="38">
        <v>15</v>
      </c>
      <c r="AU3" s="38">
        <v>16</v>
      </c>
      <c r="AV3" s="38">
        <v>17</v>
      </c>
      <c r="AW3" s="38">
        <v>18</v>
      </c>
      <c r="AX3" s="37"/>
    </row>
    <row r="4" spans="3:50" ht="45" customHeight="1">
      <c r="C4" s="38">
        <v>19</v>
      </c>
      <c r="D4" s="38">
        <v>20</v>
      </c>
      <c r="E4" s="38">
        <v>21</v>
      </c>
      <c r="F4" s="38">
        <v>22</v>
      </c>
      <c r="G4" s="38">
        <v>23</v>
      </c>
      <c r="H4" s="38">
        <v>24</v>
      </c>
      <c r="I4" s="38">
        <v>25</v>
      </c>
      <c r="J4" s="38">
        <v>26</v>
      </c>
      <c r="K4" s="38">
        <v>27</v>
      </c>
      <c r="L4" s="38">
        <v>28</v>
      </c>
      <c r="M4" s="38">
        <v>29</v>
      </c>
      <c r="N4" s="38">
        <v>30</v>
      </c>
      <c r="O4" s="38">
        <v>31</v>
      </c>
      <c r="W4" s="38"/>
      <c r="X4" s="38"/>
      <c r="Y4" s="38"/>
      <c r="Z4" s="38"/>
      <c r="AA4" s="39"/>
      <c r="AB4" s="38"/>
      <c r="AC4" s="39"/>
      <c r="AD4" s="38"/>
      <c r="AE4" s="38"/>
      <c r="AF4" s="38"/>
      <c r="AG4" s="38"/>
      <c r="AH4" s="38"/>
      <c r="AI4" s="38"/>
      <c r="AL4" s="38">
        <v>19</v>
      </c>
      <c r="AM4" s="38">
        <v>20</v>
      </c>
      <c r="AN4" s="38">
        <v>21</v>
      </c>
      <c r="AO4" s="38">
        <v>22</v>
      </c>
      <c r="AP4" s="38">
        <v>23</v>
      </c>
      <c r="AQ4" s="38">
        <v>24</v>
      </c>
      <c r="AR4" s="46">
        <v>25</v>
      </c>
      <c r="AS4" s="38">
        <v>26</v>
      </c>
      <c r="AT4" s="38">
        <v>27</v>
      </c>
      <c r="AU4" s="38">
        <v>28</v>
      </c>
      <c r="AV4" s="38">
        <v>29</v>
      </c>
      <c r="AW4" s="38">
        <v>30</v>
      </c>
      <c r="AX4" s="38">
        <v>31</v>
      </c>
    </row>
    <row r="5" spans="3:50" ht="45" customHeight="1">
      <c r="C5" s="38">
        <v>32</v>
      </c>
      <c r="D5" s="38">
        <v>33</v>
      </c>
      <c r="E5" s="38">
        <v>34</v>
      </c>
      <c r="F5" s="38">
        <v>35</v>
      </c>
      <c r="G5" s="38">
        <v>36</v>
      </c>
      <c r="H5" s="38">
        <v>37</v>
      </c>
      <c r="I5" s="38">
        <v>38</v>
      </c>
      <c r="J5" s="38">
        <v>39</v>
      </c>
      <c r="K5" s="38">
        <v>40</v>
      </c>
      <c r="L5" s="38">
        <v>41</v>
      </c>
      <c r="M5" s="38">
        <v>42</v>
      </c>
      <c r="N5" s="38">
        <v>43</v>
      </c>
      <c r="O5" s="38">
        <v>44</v>
      </c>
      <c r="W5" s="38"/>
      <c r="X5" s="39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L5" s="38">
        <v>32</v>
      </c>
      <c r="AM5" s="46">
        <v>33</v>
      </c>
      <c r="AN5" s="38">
        <v>34</v>
      </c>
      <c r="AO5" s="38">
        <v>35</v>
      </c>
      <c r="AP5" s="38">
        <v>36</v>
      </c>
      <c r="AQ5" s="38">
        <v>37</v>
      </c>
      <c r="AR5" s="38">
        <v>38</v>
      </c>
      <c r="AS5" s="38">
        <v>39</v>
      </c>
      <c r="AT5" s="38">
        <v>40</v>
      </c>
      <c r="AU5" s="38">
        <v>41</v>
      </c>
      <c r="AV5" s="38">
        <v>42</v>
      </c>
      <c r="AW5" s="46">
        <v>43</v>
      </c>
      <c r="AX5" s="38">
        <v>44</v>
      </c>
    </row>
    <row r="6" spans="3:50" ht="45" customHeight="1">
      <c r="C6" s="38">
        <v>45</v>
      </c>
      <c r="D6" s="38">
        <v>46</v>
      </c>
      <c r="E6" s="38">
        <v>47</v>
      </c>
      <c r="F6" s="38">
        <v>48</v>
      </c>
      <c r="G6" s="38">
        <v>49</v>
      </c>
      <c r="H6" s="38">
        <v>50</v>
      </c>
      <c r="I6" s="38">
        <v>51</v>
      </c>
      <c r="J6" s="38">
        <v>52</v>
      </c>
      <c r="K6" s="38">
        <v>53</v>
      </c>
      <c r="L6" s="38">
        <v>54</v>
      </c>
      <c r="M6" s="38">
        <v>55</v>
      </c>
      <c r="N6" s="38">
        <v>56</v>
      </c>
      <c r="O6" s="38">
        <v>57</v>
      </c>
      <c r="W6" s="38"/>
      <c r="X6" s="38"/>
      <c r="Y6" s="38"/>
      <c r="Z6" s="39"/>
      <c r="AA6" s="79"/>
      <c r="AB6" s="39"/>
      <c r="AC6" s="39"/>
      <c r="AD6" s="39"/>
      <c r="AE6" s="39"/>
      <c r="AF6" s="38"/>
      <c r="AG6" s="38"/>
      <c r="AH6" s="38"/>
      <c r="AI6" s="38"/>
      <c r="AL6" s="38">
        <v>45</v>
      </c>
      <c r="AM6" s="38">
        <v>46</v>
      </c>
      <c r="AN6" s="38">
        <v>47</v>
      </c>
      <c r="AO6" s="38">
        <v>48</v>
      </c>
      <c r="AP6" s="46">
        <v>49</v>
      </c>
      <c r="AQ6" s="46">
        <v>50</v>
      </c>
      <c r="AR6" s="46">
        <v>51</v>
      </c>
      <c r="AS6" s="46">
        <v>52</v>
      </c>
      <c r="AT6" s="46">
        <v>53</v>
      </c>
      <c r="AU6" s="38">
        <v>54</v>
      </c>
      <c r="AV6" s="38">
        <v>55</v>
      </c>
      <c r="AW6" s="38">
        <v>56</v>
      </c>
      <c r="AX6" s="38">
        <v>57</v>
      </c>
    </row>
    <row r="7" spans="3:50" ht="45" customHeight="1">
      <c r="C7" s="38">
        <v>58</v>
      </c>
      <c r="D7" s="38">
        <v>59</v>
      </c>
      <c r="E7" s="38">
        <v>60</v>
      </c>
      <c r="F7" s="38">
        <v>61</v>
      </c>
      <c r="G7" s="38">
        <v>62</v>
      </c>
      <c r="H7" s="38">
        <v>63</v>
      </c>
      <c r="I7" s="38">
        <v>64</v>
      </c>
      <c r="J7" s="38">
        <v>65</v>
      </c>
      <c r="K7" s="38">
        <v>66</v>
      </c>
      <c r="L7" s="38">
        <v>67</v>
      </c>
      <c r="M7" s="38">
        <v>68</v>
      </c>
      <c r="N7" s="38">
        <v>69</v>
      </c>
      <c r="O7" s="38">
        <v>70</v>
      </c>
      <c r="W7" s="38"/>
      <c r="X7" s="39"/>
      <c r="Y7" s="38"/>
      <c r="Z7" s="38"/>
      <c r="AA7" s="39"/>
      <c r="AB7" s="39"/>
      <c r="AC7" s="39"/>
      <c r="AD7" s="39"/>
      <c r="AE7" s="39"/>
      <c r="AF7" s="38"/>
      <c r="AG7" s="38"/>
      <c r="AH7" s="39"/>
      <c r="AI7" s="38"/>
      <c r="AL7" s="38">
        <v>58</v>
      </c>
      <c r="AM7" s="46">
        <v>59</v>
      </c>
      <c r="AN7" s="38">
        <v>60</v>
      </c>
      <c r="AO7" s="38">
        <v>61</v>
      </c>
      <c r="AP7" s="46">
        <v>62</v>
      </c>
      <c r="AQ7" s="46">
        <v>63</v>
      </c>
      <c r="AR7" s="46">
        <v>64</v>
      </c>
      <c r="AS7" s="46">
        <v>65</v>
      </c>
      <c r="AT7" s="46">
        <v>66</v>
      </c>
      <c r="AU7" s="38">
        <v>67</v>
      </c>
      <c r="AV7" s="38">
        <v>68</v>
      </c>
      <c r="AW7" s="46">
        <v>69</v>
      </c>
      <c r="AX7" s="38">
        <v>70</v>
      </c>
    </row>
    <row r="8" spans="3:50" ht="45" customHeight="1">
      <c r="C8" s="38">
        <v>71</v>
      </c>
      <c r="D8" s="38">
        <v>72</v>
      </c>
      <c r="E8" s="38">
        <v>73</v>
      </c>
      <c r="F8" s="38">
        <v>74</v>
      </c>
      <c r="G8" s="38">
        <v>75</v>
      </c>
      <c r="H8" s="38">
        <v>76</v>
      </c>
      <c r="I8" s="38">
        <v>77</v>
      </c>
      <c r="J8" s="38">
        <v>78</v>
      </c>
      <c r="K8" s="38">
        <v>79</v>
      </c>
      <c r="L8" s="38">
        <v>80</v>
      </c>
      <c r="M8" s="38">
        <v>81</v>
      </c>
      <c r="N8" s="38">
        <v>82</v>
      </c>
      <c r="O8" s="38">
        <v>83</v>
      </c>
      <c r="W8" s="38"/>
      <c r="X8" s="38"/>
      <c r="Y8" s="38"/>
      <c r="Z8" s="38"/>
      <c r="AA8" s="38"/>
      <c r="AB8" s="38"/>
      <c r="AC8" s="39"/>
      <c r="AD8" s="38"/>
      <c r="AE8" s="38"/>
      <c r="AF8" s="38"/>
      <c r="AG8" s="38"/>
      <c r="AH8" s="38"/>
      <c r="AI8" s="38"/>
      <c r="AL8" s="38">
        <v>71</v>
      </c>
      <c r="AM8" s="38">
        <v>72</v>
      </c>
      <c r="AN8" s="38">
        <v>73</v>
      </c>
      <c r="AO8" s="38">
        <v>74</v>
      </c>
      <c r="AP8" s="38">
        <v>75</v>
      </c>
      <c r="AQ8" s="38">
        <v>76</v>
      </c>
      <c r="AR8" s="46">
        <v>77</v>
      </c>
      <c r="AS8" s="38">
        <v>78</v>
      </c>
      <c r="AT8" s="38">
        <v>79</v>
      </c>
      <c r="AU8" s="38">
        <v>80</v>
      </c>
      <c r="AV8" s="38">
        <v>81</v>
      </c>
      <c r="AW8" s="38">
        <v>82</v>
      </c>
      <c r="AX8" s="38">
        <v>83</v>
      </c>
    </row>
    <row r="9" spans="3:50" ht="45" customHeight="1">
      <c r="C9" s="37"/>
      <c r="D9" s="38">
        <v>84</v>
      </c>
      <c r="E9" s="38">
        <v>85</v>
      </c>
      <c r="F9" s="38">
        <v>86</v>
      </c>
      <c r="G9" s="38">
        <v>87</v>
      </c>
      <c r="H9" s="38">
        <v>88</v>
      </c>
      <c r="I9" s="38">
        <v>89</v>
      </c>
      <c r="J9" s="38">
        <v>90</v>
      </c>
      <c r="K9" s="38">
        <v>91</v>
      </c>
      <c r="L9" s="38">
        <v>92</v>
      </c>
      <c r="M9" s="38">
        <v>93</v>
      </c>
      <c r="N9" s="38">
        <v>94</v>
      </c>
      <c r="O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L9" s="37"/>
      <c r="AM9" s="38">
        <v>84</v>
      </c>
      <c r="AN9" s="38">
        <v>85</v>
      </c>
      <c r="AO9" s="38">
        <v>86</v>
      </c>
      <c r="AP9" s="38">
        <v>87</v>
      </c>
      <c r="AQ9" s="38">
        <v>88</v>
      </c>
      <c r="AR9" s="38">
        <v>89</v>
      </c>
      <c r="AS9" s="38">
        <v>90</v>
      </c>
      <c r="AT9" s="38">
        <v>91</v>
      </c>
      <c r="AU9" s="38">
        <v>92</v>
      </c>
      <c r="AV9" s="38">
        <v>93</v>
      </c>
      <c r="AW9" s="38">
        <v>94</v>
      </c>
      <c r="AX9" s="37"/>
    </row>
    <row r="10" spans="3:50" ht="45" customHeight="1">
      <c r="C10" s="37"/>
      <c r="D10" s="37"/>
      <c r="E10" s="37"/>
      <c r="F10" s="38">
        <v>95</v>
      </c>
      <c r="G10" s="38">
        <v>96</v>
      </c>
      <c r="H10" s="38">
        <v>97</v>
      </c>
      <c r="I10" s="38">
        <v>98</v>
      </c>
      <c r="J10" s="38">
        <v>99</v>
      </c>
      <c r="K10" s="38">
        <v>100</v>
      </c>
      <c r="L10" s="38">
        <v>101</v>
      </c>
      <c r="M10" s="37"/>
      <c r="N10" s="37"/>
      <c r="O10" s="37"/>
      <c r="W10" s="37"/>
      <c r="X10" s="37"/>
      <c r="Y10" s="37"/>
      <c r="Z10" s="38"/>
      <c r="AA10" s="39"/>
      <c r="AB10" s="38"/>
      <c r="AC10" s="38"/>
      <c r="AD10" s="38"/>
      <c r="AE10" s="39"/>
      <c r="AF10" s="38"/>
      <c r="AG10" s="37"/>
      <c r="AH10" s="37"/>
      <c r="AI10" s="37"/>
      <c r="AL10" s="37"/>
      <c r="AM10" s="37"/>
      <c r="AN10" s="37"/>
      <c r="AO10" s="38">
        <v>95</v>
      </c>
      <c r="AP10" s="46">
        <v>96</v>
      </c>
      <c r="AQ10" s="38">
        <v>97</v>
      </c>
      <c r="AR10" s="38">
        <v>98</v>
      </c>
      <c r="AS10" s="38">
        <v>99</v>
      </c>
      <c r="AT10" s="46">
        <v>100</v>
      </c>
      <c r="AU10" s="38">
        <v>101</v>
      </c>
      <c r="AV10" s="37"/>
      <c r="AW10" s="37"/>
      <c r="AX10" s="37"/>
    </row>
    <row r="13" spans="3:50" ht="45" customHeight="1">
      <c r="F13" s="80">
        <v>0</v>
      </c>
      <c r="G13" s="80">
        <v>1</v>
      </c>
      <c r="H13" s="80">
        <v>2</v>
      </c>
      <c r="I13" s="80">
        <v>3</v>
      </c>
      <c r="J13" s="80">
        <v>4</v>
      </c>
      <c r="K13" s="80">
        <v>5</v>
      </c>
      <c r="L13" s="80">
        <v>6</v>
      </c>
      <c r="M13" s="80">
        <v>7</v>
      </c>
      <c r="N13" s="80">
        <v>8</v>
      </c>
      <c r="O13" s="80">
        <v>9</v>
      </c>
      <c r="P13" s="80">
        <v>10</v>
      </c>
      <c r="Q13" s="80">
        <v>11</v>
      </c>
      <c r="R13" s="80">
        <v>12</v>
      </c>
      <c r="S13" s="80">
        <v>13</v>
      </c>
      <c r="T13" s="80">
        <v>14</v>
      </c>
      <c r="X13" s="80">
        <v>0</v>
      </c>
      <c r="Y13" s="80">
        <v>1</v>
      </c>
      <c r="Z13" s="80">
        <v>2</v>
      </c>
      <c r="AA13" s="80">
        <v>3</v>
      </c>
      <c r="AB13" s="80">
        <v>4</v>
      </c>
      <c r="AC13" s="80">
        <v>5</v>
      </c>
      <c r="AD13" s="80">
        <v>6</v>
      </c>
      <c r="AE13" s="80">
        <v>7</v>
      </c>
      <c r="AF13" s="80">
        <v>8</v>
      </c>
      <c r="AG13" s="80">
        <v>9</v>
      </c>
      <c r="AH13" s="80">
        <v>10</v>
      </c>
      <c r="AI13" s="80">
        <v>11</v>
      </c>
      <c r="AJ13" s="80">
        <v>12</v>
      </c>
      <c r="AK13" s="80">
        <v>13</v>
      </c>
      <c r="AL13" s="80">
        <v>14</v>
      </c>
    </row>
    <row r="14" spans="3:50" ht="45" customHeight="1">
      <c r="F14" s="81">
        <v>-7</v>
      </c>
      <c r="G14" s="81">
        <v>-6</v>
      </c>
      <c r="H14" s="81">
        <v>-5</v>
      </c>
      <c r="I14" s="81">
        <v>-4</v>
      </c>
      <c r="J14" s="81">
        <v>-3</v>
      </c>
      <c r="K14" s="81">
        <v>-2</v>
      </c>
      <c r="L14" s="81">
        <v>-1</v>
      </c>
      <c r="M14" s="81">
        <v>0</v>
      </c>
      <c r="N14" s="81">
        <v>1</v>
      </c>
      <c r="O14" s="81">
        <v>2</v>
      </c>
      <c r="P14" s="81">
        <v>3</v>
      </c>
      <c r="Q14" s="81">
        <v>4</v>
      </c>
      <c r="R14" s="81">
        <v>5</v>
      </c>
      <c r="S14" s="81">
        <v>6</v>
      </c>
      <c r="T14" s="81">
        <v>7</v>
      </c>
      <c r="X14" s="81">
        <v>-7</v>
      </c>
      <c r="Y14" s="81">
        <v>-6</v>
      </c>
      <c r="Z14" s="81">
        <v>-5</v>
      </c>
      <c r="AA14" s="81">
        <v>-4</v>
      </c>
      <c r="AB14" s="81">
        <v>-3</v>
      </c>
      <c r="AC14" s="81">
        <v>-2</v>
      </c>
      <c r="AD14" s="81">
        <v>-1</v>
      </c>
      <c r="AE14" s="81">
        <v>0</v>
      </c>
      <c r="AF14" s="81">
        <v>1</v>
      </c>
      <c r="AG14" s="81">
        <v>2</v>
      </c>
      <c r="AH14" s="81">
        <v>3</v>
      </c>
      <c r="AI14" s="81">
        <v>4</v>
      </c>
      <c r="AJ14" s="81">
        <v>5</v>
      </c>
      <c r="AK14" s="81">
        <v>6</v>
      </c>
      <c r="AL14" s="81">
        <v>7</v>
      </c>
    </row>
    <row r="15" spans="3:50" ht="45" customHeight="1">
      <c r="D15" s="80">
        <v>10</v>
      </c>
      <c r="E15" s="82">
        <v>5</v>
      </c>
      <c r="V15" s="80">
        <v>10</v>
      </c>
      <c r="W15" s="82">
        <v>5</v>
      </c>
    </row>
    <row r="16" spans="3:50" ht="45" customHeight="1">
      <c r="D16" s="80">
        <v>9</v>
      </c>
      <c r="E16" s="82">
        <v>4</v>
      </c>
      <c r="G16" s="37"/>
      <c r="H16" s="37"/>
      <c r="I16" s="37"/>
      <c r="J16" s="38">
        <v>1</v>
      </c>
      <c r="K16" s="38">
        <v>2</v>
      </c>
      <c r="L16" s="38">
        <v>3</v>
      </c>
      <c r="M16" s="38">
        <v>4</v>
      </c>
      <c r="N16" s="38">
        <v>5</v>
      </c>
      <c r="O16" s="38">
        <v>6</v>
      </c>
      <c r="P16" s="38">
        <v>7</v>
      </c>
      <c r="Q16" s="37"/>
      <c r="R16" s="37"/>
      <c r="S16" s="37"/>
      <c r="V16" s="80">
        <v>9</v>
      </c>
      <c r="W16" s="82">
        <v>4</v>
      </c>
      <c r="Y16" s="37"/>
      <c r="Z16" s="37"/>
      <c r="AA16" s="37"/>
      <c r="AB16" s="83"/>
      <c r="AC16" s="83"/>
      <c r="AD16" s="83"/>
      <c r="AE16" s="84"/>
      <c r="AF16" s="84"/>
      <c r="AG16" s="84"/>
      <c r="AH16" s="84"/>
      <c r="AI16" s="37"/>
      <c r="AJ16" s="37"/>
      <c r="AK16" s="37"/>
    </row>
    <row r="17" spans="4:41" ht="45" customHeight="1">
      <c r="D17" s="80">
        <v>8</v>
      </c>
      <c r="E17" s="82">
        <v>3</v>
      </c>
      <c r="G17" s="37"/>
      <c r="H17" s="38">
        <v>8</v>
      </c>
      <c r="I17" s="38">
        <v>9</v>
      </c>
      <c r="J17" s="38">
        <v>10</v>
      </c>
      <c r="K17" s="38">
        <v>11</v>
      </c>
      <c r="L17" s="38">
        <v>12</v>
      </c>
      <c r="M17" s="38">
        <v>13</v>
      </c>
      <c r="N17" s="38">
        <v>14</v>
      </c>
      <c r="O17" s="38">
        <v>15</v>
      </c>
      <c r="P17" s="38">
        <v>16</v>
      </c>
      <c r="Q17" s="38">
        <v>17</v>
      </c>
      <c r="R17" s="38">
        <v>18</v>
      </c>
      <c r="S17" s="37"/>
      <c r="V17" s="80">
        <v>8</v>
      </c>
      <c r="W17" s="82">
        <v>3</v>
      </c>
      <c r="Y17" s="37"/>
      <c r="Z17" s="83"/>
      <c r="AA17" s="83"/>
      <c r="AB17" s="83"/>
      <c r="AC17" s="85"/>
      <c r="AD17" s="85"/>
      <c r="AE17" s="86"/>
      <c r="AF17" s="86"/>
      <c r="AG17" s="86"/>
      <c r="AH17" s="86"/>
      <c r="AI17" s="86"/>
      <c r="AJ17" s="84"/>
      <c r="AK17" s="37"/>
    </row>
    <row r="18" spans="4:41" ht="45" customHeight="1">
      <c r="D18" s="80">
        <v>7</v>
      </c>
      <c r="E18" s="82">
        <v>2</v>
      </c>
      <c r="G18" s="38">
        <v>19</v>
      </c>
      <c r="H18" s="38">
        <v>20</v>
      </c>
      <c r="I18" s="38">
        <v>21</v>
      </c>
      <c r="J18" s="38">
        <v>22</v>
      </c>
      <c r="K18" s="38">
        <v>23</v>
      </c>
      <c r="L18" s="38">
        <v>24</v>
      </c>
      <c r="M18" s="38">
        <v>25</v>
      </c>
      <c r="N18" s="38">
        <v>26</v>
      </c>
      <c r="O18" s="38">
        <v>27</v>
      </c>
      <c r="P18" s="38">
        <v>28</v>
      </c>
      <c r="Q18" s="38">
        <v>29</v>
      </c>
      <c r="R18" s="38">
        <v>30</v>
      </c>
      <c r="S18" s="38">
        <v>31</v>
      </c>
      <c r="V18" s="80">
        <v>7</v>
      </c>
      <c r="W18" s="82">
        <v>2</v>
      </c>
      <c r="Y18" s="83"/>
      <c r="Z18" s="83"/>
      <c r="AA18" s="83"/>
      <c r="AB18" s="83"/>
      <c r="AC18" s="87"/>
      <c r="AD18" s="87"/>
      <c r="AE18" s="88"/>
      <c r="AF18" s="88"/>
      <c r="AG18" s="88"/>
      <c r="AH18" s="88"/>
      <c r="AI18" s="88"/>
      <c r="AJ18" s="84"/>
      <c r="AK18" s="84"/>
      <c r="AN18" s="84"/>
      <c r="AO18" s="59" t="s">
        <v>49</v>
      </c>
    </row>
    <row r="19" spans="4:41" ht="45" customHeight="1">
      <c r="D19" s="80">
        <v>6</v>
      </c>
      <c r="E19" s="82">
        <v>1</v>
      </c>
      <c r="G19" s="38">
        <v>32</v>
      </c>
      <c r="H19" s="38">
        <v>33</v>
      </c>
      <c r="I19" s="38">
        <v>34</v>
      </c>
      <c r="J19" s="38">
        <v>35</v>
      </c>
      <c r="K19" s="38">
        <v>36</v>
      </c>
      <c r="L19" s="38">
        <v>37</v>
      </c>
      <c r="M19" s="38">
        <v>38</v>
      </c>
      <c r="N19" s="38">
        <v>39</v>
      </c>
      <c r="O19" s="38">
        <v>40</v>
      </c>
      <c r="P19" s="38">
        <v>41</v>
      </c>
      <c r="Q19" s="38">
        <v>42</v>
      </c>
      <c r="R19" s="38">
        <v>43</v>
      </c>
      <c r="S19" s="38">
        <v>44</v>
      </c>
      <c r="V19" s="80">
        <v>6</v>
      </c>
      <c r="W19" s="82">
        <v>1</v>
      </c>
      <c r="Y19" s="83"/>
      <c r="Z19" s="83"/>
      <c r="AA19" s="83"/>
      <c r="AB19" s="83"/>
      <c r="AC19" s="87"/>
      <c r="AD19" s="87"/>
      <c r="AE19" s="88"/>
      <c r="AF19" s="88"/>
      <c r="AG19" s="88"/>
      <c r="AH19" s="88"/>
      <c r="AI19" s="88"/>
      <c r="AJ19" s="84"/>
      <c r="AK19" s="84"/>
      <c r="AN19" s="89"/>
      <c r="AO19" s="59" t="s">
        <v>50</v>
      </c>
    </row>
    <row r="20" spans="4:41" ht="45" customHeight="1">
      <c r="D20" s="80">
        <v>5</v>
      </c>
      <c r="E20" s="82">
        <v>0</v>
      </c>
      <c r="G20" s="38">
        <v>45</v>
      </c>
      <c r="H20" s="38">
        <v>46</v>
      </c>
      <c r="I20" s="38">
        <v>47</v>
      </c>
      <c r="J20" s="38">
        <v>48</v>
      </c>
      <c r="K20" s="38">
        <v>49</v>
      </c>
      <c r="L20" s="38">
        <v>50</v>
      </c>
      <c r="M20" s="90">
        <v>51</v>
      </c>
      <c r="N20" s="38">
        <v>52</v>
      </c>
      <c r="O20" s="38">
        <v>53</v>
      </c>
      <c r="P20" s="38">
        <v>54</v>
      </c>
      <c r="Q20" s="38">
        <v>55</v>
      </c>
      <c r="R20" s="38">
        <v>56</v>
      </c>
      <c r="S20" s="38">
        <v>57</v>
      </c>
      <c r="V20" s="80">
        <v>5</v>
      </c>
      <c r="W20" s="82">
        <v>0</v>
      </c>
      <c r="Y20" s="83"/>
      <c r="Z20" s="83"/>
      <c r="AA20" s="83"/>
      <c r="AB20" s="83"/>
      <c r="AC20" s="87"/>
      <c r="AD20" s="87"/>
      <c r="AE20" s="91" t="s">
        <v>51</v>
      </c>
      <c r="AF20" s="92"/>
      <c r="AG20" s="92"/>
      <c r="AH20" s="92"/>
      <c r="AI20" s="92"/>
      <c r="AJ20" s="89"/>
      <c r="AK20" s="89"/>
      <c r="AN20" s="93"/>
      <c r="AO20" s="59" t="s">
        <v>52</v>
      </c>
    </row>
    <row r="21" spans="4:41" ht="45" customHeight="1">
      <c r="D21" s="80">
        <v>4</v>
      </c>
      <c r="E21" s="82">
        <v>-1</v>
      </c>
      <c r="G21" s="38">
        <v>58</v>
      </c>
      <c r="H21" s="38">
        <v>59</v>
      </c>
      <c r="I21" s="38">
        <v>60</v>
      </c>
      <c r="J21" s="38">
        <v>61</v>
      </c>
      <c r="K21" s="38">
        <v>62</v>
      </c>
      <c r="L21" s="38">
        <v>63</v>
      </c>
      <c r="M21" s="38">
        <v>64</v>
      </c>
      <c r="N21" s="38">
        <v>65</v>
      </c>
      <c r="O21" s="38">
        <v>66</v>
      </c>
      <c r="P21" s="38">
        <v>67</v>
      </c>
      <c r="Q21" s="38">
        <v>68</v>
      </c>
      <c r="R21" s="38">
        <v>69</v>
      </c>
      <c r="S21" s="38">
        <v>70</v>
      </c>
      <c r="V21" s="80">
        <v>4</v>
      </c>
      <c r="W21" s="82">
        <v>-1</v>
      </c>
      <c r="Y21" s="94"/>
      <c r="Z21" s="94"/>
      <c r="AA21" s="94"/>
      <c r="AB21" s="94"/>
      <c r="AC21" s="93"/>
      <c r="AD21" s="93"/>
      <c r="AE21" s="93"/>
      <c r="AF21" s="92"/>
      <c r="AG21" s="92"/>
      <c r="AH21" s="92"/>
      <c r="AI21" s="92"/>
      <c r="AJ21" s="89"/>
      <c r="AK21" s="89"/>
      <c r="AN21" s="87"/>
      <c r="AO21" s="59" t="s">
        <v>53</v>
      </c>
    </row>
    <row r="22" spans="4:41" ht="45" customHeight="1">
      <c r="D22" s="80">
        <v>3</v>
      </c>
      <c r="E22" s="82">
        <v>-2</v>
      </c>
      <c r="G22" s="38">
        <v>71</v>
      </c>
      <c r="H22" s="38">
        <v>72</v>
      </c>
      <c r="I22" s="38">
        <v>73</v>
      </c>
      <c r="J22" s="38">
        <v>74</v>
      </c>
      <c r="K22" s="38">
        <v>75</v>
      </c>
      <c r="L22" s="38">
        <v>76</v>
      </c>
      <c r="M22" s="38">
        <v>77</v>
      </c>
      <c r="N22" s="38">
        <v>78</v>
      </c>
      <c r="O22" s="38">
        <v>79</v>
      </c>
      <c r="P22" s="38">
        <v>80</v>
      </c>
      <c r="Q22" s="38">
        <v>81</v>
      </c>
      <c r="R22" s="38">
        <v>82</v>
      </c>
      <c r="S22" s="38">
        <v>83</v>
      </c>
      <c r="V22" s="80">
        <v>3</v>
      </c>
      <c r="W22" s="82">
        <v>-2</v>
      </c>
      <c r="Y22" s="94"/>
      <c r="Z22" s="94"/>
      <c r="AA22" s="94"/>
      <c r="AB22" s="94"/>
      <c r="AC22" s="94"/>
      <c r="AD22" s="94"/>
      <c r="AE22" s="94"/>
      <c r="AF22" s="89"/>
      <c r="AG22" s="89"/>
      <c r="AH22" s="89"/>
      <c r="AI22" s="89"/>
      <c r="AJ22" s="89"/>
      <c r="AK22" s="89"/>
    </row>
    <row r="23" spans="4:41" ht="45" customHeight="1">
      <c r="D23" s="80">
        <v>2</v>
      </c>
      <c r="E23" s="82">
        <v>-3</v>
      </c>
      <c r="G23" s="37"/>
      <c r="H23" s="38">
        <v>84</v>
      </c>
      <c r="I23" s="38">
        <v>85</v>
      </c>
      <c r="J23" s="38">
        <v>86</v>
      </c>
      <c r="K23" s="38">
        <v>87</v>
      </c>
      <c r="L23" s="38">
        <v>88</v>
      </c>
      <c r="M23" s="38">
        <v>89</v>
      </c>
      <c r="N23" s="38">
        <v>90</v>
      </c>
      <c r="O23" s="38">
        <v>91</v>
      </c>
      <c r="P23" s="38">
        <v>92</v>
      </c>
      <c r="Q23" s="38">
        <v>93</v>
      </c>
      <c r="R23" s="38">
        <v>94</v>
      </c>
      <c r="S23" s="37"/>
      <c r="V23" s="80">
        <v>2</v>
      </c>
      <c r="W23" s="82">
        <v>-3</v>
      </c>
      <c r="Y23" s="37"/>
      <c r="Z23" s="94"/>
      <c r="AA23" s="94"/>
      <c r="AB23" s="94"/>
      <c r="AC23" s="94"/>
      <c r="AD23" s="94"/>
      <c r="AE23" s="94"/>
      <c r="AF23" s="89"/>
      <c r="AG23" s="89"/>
      <c r="AH23" s="89"/>
      <c r="AI23" s="89"/>
      <c r="AJ23" s="89"/>
      <c r="AK23" s="37"/>
    </row>
    <row r="24" spans="4:41" ht="45" customHeight="1">
      <c r="D24" s="80">
        <v>1</v>
      </c>
      <c r="E24" s="82">
        <v>-4</v>
      </c>
      <c r="G24" s="37"/>
      <c r="H24" s="37"/>
      <c r="I24" s="37"/>
      <c r="J24" s="38">
        <v>95</v>
      </c>
      <c r="K24" s="38">
        <v>96</v>
      </c>
      <c r="L24" s="38">
        <v>97</v>
      </c>
      <c r="M24" s="38">
        <v>98</v>
      </c>
      <c r="N24" s="38">
        <v>99</v>
      </c>
      <c r="O24" s="38">
        <v>100</v>
      </c>
      <c r="P24" s="38">
        <v>101</v>
      </c>
      <c r="Q24" s="37"/>
      <c r="R24" s="37"/>
      <c r="S24" s="37"/>
      <c r="V24" s="80">
        <v>1</v>
      </c>
      <c r="W24" s="82">
        <v>-4</v>
      </c>
      <c r="Y24" s="37"/>
      <c r="Z24" s="37"/>
      <c r="AA24" s="37"/>
      <c r="AB24" s="94"/>
      <c r="AC24" s="94"/>
      <c r="AD24" s="94"/>
      <c r="AE24" s="94"/>
      <c r="AF24" s="89"/>
      <c r="AG24" s="89"/>
      <c r="AH24" s="89"/>
      <c r="AI24" s="37"/>
      <c r="AJ24" s="37"/>
      <c r="AK24" s="37"/>
    </row>
    <row r="25" spans="4:41" ht="45" customHeight="1">
      <c r="D25" s="80">
        <v>0</v>
      </c>
      <c r="E25" s="82">
        <v>-5</v>
      </c>
      <c r="V25" s="80">
        <v>0</v>
      </c>
      <c r="W25" s="82">
        <v>-5</v>
      </c>
    </row>
    <row r="27" spans="4:41" ht="45" customHeight="1">
      <c r="X27" s="80">
        <v>0</v>
      </c>
      <c r="Y27" s="80">
        <v>1</v>
      </c>
      <c r="Z27" s="80">
        <v>2</v>
      </c>
      <c r="AA27" s="80">
        <v>3</v>
      </c>
      <c r="AB27" s="80">
        <v>4</v>
      </c>
      <c r="AC27" s="80">
        <v>5</v>
      </c>
      <c r="AD27" s="80">
        <v>6</v>
      </c>
      <c r="AE27" s="80">
        <v>7</v>
      </c>
      <c r="AF27" s="80">
        <v>8</v>
      </c>
      <c r="AG27" s="80">
        <v>9</v>
      </c>
      <c r="AH27" s="80">
        <v>10</v>
      </c>
      <c r="AI27" s="80">
        <v>11</v>
      </c>
      <c r="AJ27" s="80">
        <v>12</v>
      </c>
      <c r="AK27" s="80">
        <v>13</v>
      </c>
      <c r="AL27" s="80">
        <v>14</v>
      </c>
    </row>
    <row r="28" spans="4:41" ht="45" customHeight="1">
      <c r="X28" s="81">
        <v>-7</v>
      </c>
      <c r="Y28" s="81">
        <v>-6</v>
      </c>
      <c r="Z28" s="81">
        <v>-5</v>
      </c>
      <c r="AA28" s="81">
        <v>-4</v>
      </c>
      <c r="AB28" s="81">
        <v>-3</v>
      </c>
      <c r="AC28" s="81">
        <v>-2</v>
      </c>
      <c r="AD28" s="81">
        <v>-1</v>
      </c>
      <c r="AE28" s="81">
        <v>0</v>
      </c>
      <c r="AF28" s="81">
        <v>1</v>
      </c>
      <c r="AG28" s="81">
        <v>2</v>
      </c>
      <c r="AH28" s="81">
        <v>3</v>
      </c>
      <c r="AI28" s="81">
        <v>4</v>
      </c>
      <c r="AJ28" s="81">
        <v>5</v>
      </c>
      <c r="AK28" s="81">
        <v>6</v>
      </c>
      <c r="AL28" s="81">
        <v>7</v>
      </c>
    </row>
    <row r="29" spans="4:41" ht="45" customHeight="1">
      <c r="V29" s="80">
        <v>10</v>
      </c>
      <c r="W29" s="82">
        <v>5</v>
      </c>
    </row>
    <row r="30" spans="4:41" ht="45" customHeight="1">
      <c r="V30" s="80">
        <v>9</v>
      </c>
      <c r="W30" s="82">
        <v>4</v>
      </c>
      <c r="AA30" s="37"/>
      <c r="AB30" s="37"/>
      <c r="AC30" s="83"/>
      <c r="AD30" s="83">
        <v>1</v>
      </c>
      <c r="AE30" s="84">
        <v>2</v>
      </c>
      <c r="AF30" s="84">
        <v>3</v>
      </c>
      <c r="AG30" s="84">
        <v>4</v>
      </c>
      <c r="AH30" s="84">
        <v>5</v>
      </c>
      <c r="AI30" s="84"/>
      <c r="AJ30" s="37"/>
      <c r="AK30" s="37"/>
    </row>
    <row r="31" spans="4:41" ht="45" customHeight="1">
      <c r="V31" s="80">
        <v>8</v>
      </c>
      <c r="W31" s="82">
        <v>3</v>
      </c>
      <c r="AA31" s="37"/>
      <c r="AB31" s="85">
        <v>8</v>
      </c>
      <c r="AC31" s="85">
        <v>9</v>
      </c>
      <c r="AD31" s="85">
        <v>10</v>
      </c>
      <c r="AE31" s="86">
        <v>11</v>
      </c>
      <c r="AF31" s="86">
        <v>12</v>
      </c>
      <c r="AG31" s="86">
        <v>13</v>
      </c>
      <c r="AH31" s="86">
        <v>14</v>
      </c>
      <c r="AI31" s="86">
        <v>15</v>
      </c>
      <c r="AJ31" s="86">
        <v>16</v>
      </c>
      <c r="AK31" s="86"/>
    </row>
    <row r="32" spans="4:41" ht="45" customHeight="1">
      <c r="V32" s="80">
        <v>7</v>
      </c>
      <c r="W32" s="82">
        <v>2</v>
      </c>
      <c r="AA32" s="85">
        <v>19</v>
      </c>
      <c r="AB32" s="85">
        <v>20</v>
      </c>
      <c r="AC32" s="85">
        <v>21</v>
      </c>
      <c r="AD32" s="85">
        <v>22</v>
      </c>
      <c r="AE32" s="86">
        <v>23</v>
      </c>
      <c r="AF32" s="86">
        <v>24</v>
      </c>
      <c r="AG32" s="86">
        <v>25</v>
      </c>
      <c r="AH32" s="86">
        <v>26</v>
      </c>
      <c r="AI32" s="86">
        <v>27</v>
      </c>
      <c r="AJ32" s="86">
        <v>28</v>
      </c>
      <c r="AK32" s="86">
        <v>29</v>
      </c>
      <c r="AN32" s="84"/>
      <c r="AO32" s="59" t="s">
        <v>49</v>
      </c>
    </row>
    <row r="33" spans="22:41" ht="45" customHeight="1">
      <c r="V33" s="80">
        <v>6</v>
      </c>
      <c r="W33" s="82">
        <v>1</v>
      </c>
      <c r="AA33" s="85">
        <v>32</v>
      </c>
      <c r="AB33" s="85">
        <v>33</v>
      </c>
      <c r="AC33" s="85">
        <v>34</v>
      </c>
      <c r="AD33" s="85">
        <v>35</v>
      </c>
      <c r="AE33" s="86">
        <v>36</v>
      </c>
      <c r="AF33" s="86">
        <v>37</v>
      </c>
      <c r="AG33" s="86">
        <v>38</v>
      </c>
      <c r="AH33" s="86">
        <v>39</v>
      </c>
      <c r="AI33" s="86">
        <v>40</v>
      </c>
      <c r="AJ33" s="86">
        <v>41</v>
      </c>
      <c r="AK33" s="86">
        <v>42</v>
      </c>
      <c r="AN33" s="89"/>
      <c r="AO33" s="59" t="s">
        <v>50</v>
      </c>
    </row>
    <row r="34" spans="22:41" ht="45" customHeight="1">
      <c r="V34" s="80">
        <v>5</v>
      </c>
      <c r="W34" s="82">
        <v>0</v>
      </c>
      <c r="AA34" s="83">
        <v>45</v>
      </c>
      <c r="AB34" s="83">
        <v>46</v>
      </c>
      <c r="AC34" s="85">
        <v>47</v>
      </c>
      <c r="AD34" s="85">
        <v>48</v>
      </c>
      <c r="AE34" s="97">
        <v>49</v>
      </c>
      <c r="AF34" s="98">
        <v>50</v>
      </c>
      <c r="AG34" s="98">
        <v>51</v>
      </c>
      <c r="AH34" s="98">
        <v>52</v>
      </c>
      <c r="AI34" s="98">
        <v>53</v>
      </c>
      <c r="AJ34" s="98">
        <v>54</v>
      </c>
      <c r="AK34" s="98">
        <v>55</v>
      </c>
      <c r="AN34" s="93"/>
      <c r="AO34" s="59" t="s">
        <v>52</v>
      </c>
    </row>
    <row r="35" spans="22:41" ht="45" customHeight="1">
      <c r="V35" s="80">
        <v>4</v>
      </c>
      <c r="W35" s="82">
        <v>-1</v>
      </c>
      <c r="AA35" s="94">
        <v>58</v>
      </c>
      <c r="AB35" s="94">
        <v>59</v>
      </c>
      <c r="AC35" s="94">
        <v>60</v>
      </c>
      <c r="AD35" s="94">
        <v>61</v>
      </c>
      <c r="AE35" s="99">
        <v>62</v>
      </c>
      <c r="AF35" s="98">
        <v>63</v>
      </c>
      <c r="AG35" s="98">
        <v>64</v>
      </c>
      <c r="AH35" s="98">
        <v>65</v>
      </c>
      <c r="AI35" s="98">
        <v>66</v>
      </c>
      <c r="AJ35" s="89">
        <v>67</v>
      </c>
      <c r="AK35" s="89">
        <v>68</v>
      </c>
      <c r="AN35" s="87"/>
      <c r="AO35" s="59" t="s">
        <v>53</v>
      </c>
    </row>
    <row r="36" spans="22:41" ht="45" customHeight="1">
      <c r="V36" s="80">
        <v>3</v>
      </c>
      <c r="W36" s="82">
        <v>-2</v>
      </c>
      <c r="AA36" s="94">
        <v>71</v>
      </c>
      <c r="AB36" s="94">
        <v>72</v>
      </c>
      <c r="AC36" s="94">
        <v>73</v>
      </c>
      <c r="AD36" s="94">
        <v>74</v>
      </c>
      <c r="AE36" s="94">
        <v>75</v>
      </c>
      <c r="AF36" s="89">
        <v>76</v>
      </c>
      <c r="AG36" s="89">
        <v>77</v>
      </c>
      <c r="AH36" s="89">
        <v>78</v>
      </c>
      <c r="AI36" s="89">
        <v>79</v>
      </c>
      <c r="AJ36" s="89">
        <v>80</v>
      </c>
      <c r="AK36" s="89">
        <v>81</v>
      </c>
    </row>
    <row r="37" spans="22:41" ht="45" customHeight="1">
      <c r="V37" s="80">
        <v>2</v>
      </c>
      <c r="W37" s="82">
        <v>-3</v>
      </c>
      <c r="AA37" s="37"/>
      <c r="AB37" s="94">
        <v>84</v>
      </c>
      <c r="AC37" s="94">
        <v>85</v>
      </c>
      <c r="AD37" s="94">
        <v>86</v>
      </c>
      <c r="AE37" s="94">
        <v>87</v>
      </c>
      <c r="AF37" s="89">
        <v>88</v>
      </c>
      <c r="AG37" s="89">
        <v>89</v>
      </c>
      <c r="AH37" s="89">
        <v>90</v>
      </c>
      <c r="AI37" s="89">
        <v>91</v>
      </c>
      <c r="AJ37" s="89">
        <v>92</v>
      </c>
      <c r="AK37" s="37"/>
    </row>
    <row r="38" spans="22:41" ht="45" customHeight="1">
      <c r="V38" s="80">
        <v>1</v>
      </c>
      <c r="W38" s="82">
        <v>-4</v>
      </c>
      <c r="AA38" s="37"/>
      <c r="AB38" s="37"/>
      <c r="AC38" s="37"/>
      <c r="AD38" s="94">
        <v>93</v>
      </c>
      <c r="AE38" s="94">
        <v>94</v>
      </c>
      <c r="AF38" s="94">
        <v>95</v>
      </c>
      <c r="AG38" s="94">
        <v>96</v>
      </c>
      <c r="AH38" s="89">
        <v>97</v>
      </c>
      <c r="AI38" s="89">
        <v>98</v>
      </c>
      <c r="AJ38" s="89">
        <v>99</v>
      </c>
      <c r="AK38" s="37"/>
    </row>
    <row r="39" spans="22:41" ht="45" customHeight="1">
      <c r="V39" s="80">
        <v>0</v>
      </c>
      <c r="W39" s="82">
        <v>-5</v>
      </c>
    </row>
  </sheetData>
  <conditionalFormatting sqref="X2:AI10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:AJ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77D0-624F-4B4B-88CF-599C8425A633}">
  <dimension ref="A1:F11"/>
  <sheetViews>
    <sheetView workbookViewId="0">
      <selection activeCell="E15" sqref="E15"/>
    </sheetView>
    <sheetView workbookViewId="1"/>
  </sheetViews>
  <sheetFormatPr defaultRowHeight="15"/>
  <cols>
    <col min="2" max="2" width="18.28515625" customWidth="1"/>
    <col min="4" max="4" width="14.7109375" customWidth="1"/>
  </cols>
  <sheetData>
    <row r="1" spans="1:6">
      <c r="A1" t="s">
        <v>61</v>
      </c>
    </row>
    <row r="3" spans="1:6">
      <c r="A3" t="s">
        <v>3</v>
      </c>
      <c r="B3" t="s">
        <v>62</v>
      </c>
      <c r="C3" t="s">
        <v>63</v>
      </c>
      <c r="D3" t="s">
        <v>64</v>
      </c>
      <c r="E3" t="s">
        <v>65</v>
      </c>
    </row>
    <row r="4" spans="1:6">
      <c r="A4">
        <v>7</v>
      </c>
      <c r="B4" t="s">
        <v>66</v>
      </c>
      <c r="C4">
        <v>6</v>
      </c>
      <c r="D4">
        <v>10</v>
      </c>
      <c r="E4">
        <f>C4*D4</f>
        <v>60</v>
      </c>
    </row>
    <row r="5" spans="1:6">
      <c r="A5">
        <v>11</v>
      </c>
      <c r="B5" t="s">
        <v>66</v>
      </c>
      <c r="C5">
        <v>6</v>
      </c>
      <c r="D5">
        <v>10</v>
      </c>
      <c r="E5">
        <f t="shared" ref="E5:E9" si="0">C5*D5</f>
        <v>60</v>
      </c>
    </row>
    <row r="6" spans="1:6">
      <c r="A6">
        <v>12</v>
      </c>
      <c r="B6" t="s">
        <v>66</v>
      </c>
      <c r="C6">
        <v>6</v>
      </c>
      <c r="D6">
        <v>10</v>
      </c>
      <c r="E6">
        <f t="shared" si="0"/>
        <v>60</v>
      </c>
    </row>
    <row r="7" spans="1:6">
      <c r="B7" t="s">
        <v>67</v>
      </c>
      <c r="C7">
        <v>6</v>
      </c>
      <c r="D7">
        <v>10</v>
      </c>
      <c r="E7">
        <f t="shared" si="0"/>
        <v>60</v>
      </c>
    </row>
    <row r="8" spans="1:6">
      <c r="A8">
        <v>15</v>
      </c>
      <c r="B8" t="s">
        <v>66</v>
      </c>
      <c r="C8">
        <v>6</v>
      </c>
      <c r="D8">
        <v>10</v>
      </c>
      <c r="E8">
        <f t="shared" si="0"/>
        <v>60</v>
      </c>
    </row>
    <row r="9" spans="1:6">
      <c r="B9" t="s">
        <v>67</v>
      </c>
      <c r="C9">
        <v>6</v>
      </c>
      <c r="D9">
        <v>10</v>
      </c>
      <c r="E9">
        <f t="shared" si="0"/>
        <v>60</v>
      </c>
    </row>
    <row r="10" spans="1:6">
      <c r="E10">
        <f>SUM(E4:E9)</f>
        <v>360</v>
      </c>
      <c r="F10" t="s">
        <v>68</v>
      </c>
    </row>
    <row r="11" spans="1:6">
      <c r="E11">
        <f>E10/60</f>
        <v>6</v>
      </c>
      <c r="F11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35D3-B163-4360-B45C-69C13DABD405}">
  <dimension ref="C1:CC21"/>
  <sheetViews>
    <sheetView zoomScale="55" zoomScaleNormal="55" workbookViewId="0">
      <selection activeCell="AG11" sqref="AG11"/>
    </sheetView>
    <sheetView workbookViewId="1"/>
  </sheetViews>
  <sheetFormatPr defaultColWidth="6.7109375" defaultRowHeight="45" customHeight="1"/>
  <sheetData>
    <row r="1" spans="3:81" ht="45" customHeight="1">
      <c r="W1" s="35" t="s">
        <v>40</v>
      </c>
      <c r="AC1" s="36" t="s">
        <v>70</v>
      </c>
      <c r="AM1" s="35" t="s">
        <v>41</v>
      </c>
      <c r="AO1" s="36"/>
      <c r="AS1" s="36" t="s">
        <v>71</v>
      </c>
      <c r="BB1" s="35" t="s">
        <v>42</v>
      </c>
      <c r="BD1" s="36"/>
      <c r="BH1" s="36" t="s">
        <v>72</v>
      </c>
      <c r="BQ1" s="35" t="s">
        <v>43</v>
      </c>
      <c r="BS1" s="36"/>
      <c r="BW1" s="36" t="s">
        <v>73</v>
      </c>
    </row>
    <row r="2" spans="3:81" ht="45" customHeight="1">
      <c r="C2" s="37"/>
      <c r="D2" s="37"/>
      <c r="E2" s="37"/>
      <c r="F2" s="38">
        <v>1</v>
      </c>
      <c r="G2" s="38">
        <v>2</v>
      </c>
      <c r="H2" s="38">
        <v>3</v>
      </c>
      <c r="I2" s="38">
        <v>4</v>
      </c>
      <c r="J2" s="38">
        <v>5</v>
      </c>
      <c r="K2" s="38">
        <v>6</v>
      </c>
      <c r="L2" s="38">
        <v>7</v>
      </c>
      <c r="M2" s="37"/>
      <c r="N2" s="37"/>
      <c r="O2" s="37"/>
      <c r="W2" s="37"/>
      <c r="X2" s="37"/>
      <c r="Y2" s="37"/>
      <c r="Z2" s="38"/>
      <c r="AA2" s="39"/>
      <c r="AB2" s="38"/>
      <c r="AC2" s="38"/>
      <c r="AD2" s="38"/>
      <c r="AE2" s="39"/>
      <c r="AF2" s="38"/>
      <c r="AG2" s="37"/>
      <c r="AH2" s="37"/>
      <c r="AI2" s="37"/>
      <c r="AK2" s="40"/>
      <c r="AM2" s="37"/>
      <c r="AN2" s="37"/>
      <c r="AO2" s="37"/>
      <c r="AP2" s="38"/>
      <c r="AQ2" s="39"/>
      <c r="AR2" s="38"/>
      <c r="AS2" s="38"/>
      <c r="AT2" s="38"/>
      <c r="AU2" s="39"/>
      <c r="AV2" s="38"/>
      <c r="AW2" s="37"/>
      <c r="AX2" s="37"/>
      <c r="AY2" s="37"/>
      <c r="BB2" s="37"/>
      <c r="BC2" s="37"/>
      <c r="BD2" s="37"/>
      <c r="BE2" s="38"/>
      <c r="BF2" s="39"/>
      <c r="BG2" s="38"/>
      <c r="BH2" s="38"/>
      <c r="BI2" s="38"/>
      <c r="BJ2" s="39"/>
      <c r="BK2" s="38"/>
      <c r="BL2" s="37"/>
      <c r="BM2" s="37"/>
      <c r="BN2" s="37"/>
      <c r="BQ2" s="37"/>
      <c r="BR2" s="37"/>
      <c r="BS2" s="37"/>
      <c r="BT2" s="38"/>
      <c r="BU2" s="39"/>
      <c r="BV2" s="38"/>
      <c r="BW2" s="38"/>
      <c r="BX2" s="38"/>
      <c r="BY2" s="39"/>
      <c r="BZ2" s="38"/>
      <c r="CA2" s="37"/>
      <c r="CB2" s="37"/>
      <c r="CC2" s="37"/>
    </row>
    <row r="3" spans="3:81" ht="45" customHeight="1">
      <c r="C3" s="37"/>
      <c r="D3" s="38">
        <v>8</v>
      </c>
      <c r="E3" s="38">
        <v>9</v>
      </c>
      <c r="F3" s="38">
        <v>10</v>
      </c>
      <c r="G3" s="38">
        <v>11</v>
      </c>
      <c r="H3" s="38">
        <v>12</v>
      </c>
      <c r="I3" s="38">
        <v>13</v>
      </c>
      <c r="J3" s="38">
        <v>14</v>
      </c>
      <c r="K3" s="38">
        <v>15</v>
      </c>
      <c r="L3" s="38">
        <v>16</v>
      </c>
      <c r="M3" s="38">
        <v>17</v>
      </c>
      <c r="N3" s="38">
        <v>18</v>
      </c>
      <c r="O3" s="37"/>
      <c r="W3" s="37"/>
      <c r="X3" s="39">
        <f>'Slot 7 '!E5</f>
        <v>3.8016985390000002</v>
      </c>
      <c r="Y3" s="38"/>
      <c r="Z3" s="38"/>
      <c r="AA3" s="38"/>
      <c r="AB3" s="39">
        <f>'Slot 7 '!E6</f>
        <v>4.5594943580000002</v>
      </c>
      <c r="AC3" s="38"/>
      <c r="AD3" s="38"/>
      <c r="AE3" s="38"/>
      <c r="AF3" s="38"/>
      <c r="AG3" s="38"/>
      <c r="AH3" s="38"/>
      <c r="AI3" s="37"/>
      <c r="AK3" s="40"/>
      <c r="AM3" s="37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7"/>
      <c r="BB3" s="37"/>
      <c r="BC3" s="38"/>
      <c r="BD3" s="38"/>
      <c r="BE3" s="39">
        <f>'Slot 12'!E5</f>
        <v>3.0386560579999999</v>
      </c>
      <c r="BF3" s="38"/>
      <c r="BG3" s="38"/>
      <c r="BH3" s="38"/>
      <c r="BI3" s="38"/>
      <c r="BJ3" s="38"/>
      <c r="BK3" s="38"/>
      <c r="BL3" s="38"/>
      <c r="BM3" s="38"/>
      <c r="BN3" s="37"/>
      <c r="BQ3" s="37"/>
      <c r="BR3" s="38"/>
      <c r="BS3" s="38"/>
      <c r="BT3" s="39">
        <f>'Slot 15'!E5</f>
        <v>3.5583071130000001</v>
      </c>
      <c r="BU3" s="38"/>
      <c r="BV3" s="38"/>
      <c r="BW3" s="38"/>
      <c r="BX3" s="38"/>
      <c r="BY3" s="38"/>
      <c r="BZ3" s="38"/>
      <c r="CA3" s="38"/>
      <c r="CB3" s="38"/>
      <c r="CC3" s="37"/>
    </row>
    <row r="4" spans="3:81" ht="45" customHeight="1">
      <c r="C4" s="38">
        <v>19</v>
      </c>
      <c r="D4" s="38">
        <v>20</v>
      </c>
      <c r="E4" s="38">
        <v>21</v>
      </c>
      <c r="F4" s="38">
        <v>22</v>
      </c>
      <c r="G4" s="38">
        <v>23</v>
      </c>
      <c r="H4" s="38">
        <v>24</v>
      </c>
      <c r="I4" s="38">
        <v>25</v>
      </c>
      <c r="J4" s="38">
        <v>26</v>
      </c>
      <c r="K4" s="38">
        <v>27</v>
      </c>
      <c r="L4" s="38">
        <v>28</v>
      </c>
      <c r="M4" s="38">
        <v>29</v>
      </c>
      <c r="N4" s="38">
        <v>30</v>
      </c>
      <c r="O4" s="38">
        <v>31</v>
      </c>
      <c r="W4" s="38"/>
      <c r="X4" s="38"/>
      <c r="Y4" s="38"/>
      <c r="Z4" s="38"/>
      <c r="AA4" s="38"/>
      <c r="AB4" s="38"/>
      <c r="AC4" s="39"/>
      <c r="AD4" s="38"/>
      <c r="AE4" s="38"/>
      <c r="AF4" s="38"/>
      <c r="AG4" s="38"/>
      <c r="AH4" s="38"/>
      <c r="AI4" s="38"/>
      <c r="AK4" s="40"/>
      <c r="AM4" s="38"/>
      <c r="AN4" s="38"/>
      <c r="AO4" s="38"/>
      <c r="AP4" s="38"/>
      <c r="AQ4" s="38"/>
      <c r="AR4" s="38"/>
      <c r="AS4" s="39"/>
      <c r="AT4" s="38"/>
      <c r="AU4" s="38"/>
      <c r="AV4" s="38"/>
      <c r="AW4" s="38"/>
      <c r="AX4" s="38"/>
      <c r="AY4" s="38"/>
      <c r="BB4" s="38"/>
      <c r="BC4" s="38"/>
      <c r="BD4" s="38"/>
      <c r="BE4" s="38"/>
      <c r="BF4" s="38"/>
      <c r="BG4" s="38"/>
      <c r="BH4" s="39"/>
      <c r="BI4" s="38"/>
      <c r="BJ4" s="38"/>
      <c r="BK4" s="38"/>
      <c r="BL4" s="38"/>
      <c r="BM4" s="38"/>
      <c r="BN4" s="38"/>
      <c r="BQ4" s="38"/>
      <c r="BR4" s="38"/>
      <c r="BS4" s="38"/>
      <c r="BT4" s="38"/>
      <c r="BU4" s="38"/>
      <c r="BV4" s="38"/>
      <c r="BW4" s="39"/>
      <c r="BX4" s="38"/>
      <c r="BY4" s="38"/>
      <c r="BZ4" s="38"/>
      <c r="CA4" s="38"/>
      <c r="CB4" s="38"/>
      <c r="CC4" s="38"/>
    </row>
    <row r="5" spans="3:81" ht="45" customHeight="1">
      <c r="C5" s="38">
        <v>32</v>
      </c>
      <c r="D5" s="38">
        <v>33</v>
      </c>
      <c r="E5" s="38">
        <v>34</v>
      </c>
      <c r="F5" s="38">
        <v>35</v>
      </c>
      <c r="G5" s="38">
        <v>36</v>
      </c>
      <c r="H5" s="38">
        <v>37</v>
      </c>
      <c r="I5" s="38">
        <v>38</v>
      </c>
      <c r="J5" s="38">
        <v>39</v>
      </c>
      <c r="K5" s="38">
        <v>40</v>
      </c>
      <c r="L5" s="38">
        <v>41</v>
      </c>
      <c r="M5" s="38">
        <v>42</v>
      </c>
      <c r="N5" s="38">
        <v>43</v>
      </c>
      <c r="O5" s="38">
        <v>44</v>
      </c>
      <c r="W5" s="38"/>
      <c r="X5" s="39">
        <f>'Slot 7 '!E8</f>
        <v>3.9804322679999999</v>
      </c>
      <c r="Y5" s="38"/>
      <c r="Z5" s="39">
        <f>'Slot 7 '!E9</f>
        <v>4.9293884849999996</v>
      </c>
      <c r="AA5" s="38"/>
      <c r="AB5" s="38"/>
      <c r="AC5" s="38"/>
      <c r="AD5" s="38"/>
      <c r="AE5" s="38"/>
      <c r="AF5" s="39">
        <f>'Slot 7 '!E11</f>
        <v>4.7918199350000004</v>
      </c>
      <c r="AG5" s="38"/>
      <c r="AH5" s="39"/>
      <c r="AI5" s="38"/>
      <c r="AK5" s="40"/>
      <c r="AM5" s="38"/>
      <c r="AN5" s="39">
        <f>'Slot 11'!E6</f>
        <v>4.9059561153155986</v>
      </c>
      <c r="AO5" s="38"/>
      <c r="AP5" s="39">
        <f>'Slot 11'!E7</f>
        <v>5.0255103214567178</v>
      </c>
      <c r="AQ5" s="38"/>
      <c r="AR5" s="39">
        <f>'Slot 11'!E8</f>
        <v>5.6724267375450532</v>
      </c>
      <c r="AS5" s="38"/>
      <c r="AT5" s="38"/>
      <c r="AU5" s="38"/>
      <c r="AV5" s="38"/>
      <c r="AW5" s="38"/>
      <c r="AX5" s="39"/>
      <c r="AY5" s="38"/>
      <c r="BB5" s="38"/>
      <c r="BC5" s="39"/>
      <c r="BD5" s="38"/>
      <c r="BE5" s="39"/>
      <c r="BF5" s="38"/>
      <c r="BG5" s="39"/>
      <c r="BH5" s="38"/>
      <c r="BI5" s="39">
        <f>'Slot 12'!E8</f>
        <v>6.8878791560000003</v>
      </c>
      <c r="BJ5" s="38"/>
      <c r="BK5" s="38"/>
      <c r="BL5" s="38"/>
      <c r="BM5" s="39"/>
      <c r="BN5" s="38"/>
      <c r="BQ5" s="38"/>
      <c r="BR5" s="39"/>
      <c r="BS5" s="38"/>
      <c r="BT5" s="39"/>
      <c r="BU5" s="38"/>
      <c r="BV5" s="39"/>
      <c r="BW5" s="38"/>
      <c r="BX5" s="38"/>
      <c r="BY5" s="38"/>
      <c r="BZ5" s="38"/>
      <c r="CA5" s="38"/>
      <c r="CB5" s="39"/>
      <c r="CC5" s="38"/>
    </row>
    <row r="6" spans="3:81" ht="45" customHeight="1">
      <c r="C6" s="38">
        <v>45</v>
      </c>
      <c r="D6" s="38">
        <v>46</v>
      </c>
      <c r="E6" s="38">
        <v>47</v>
      </c>
      <c r="F6" s="38">
        <v>48</v>
      </c>
      <c r="G6" s="95">
        <v>49</v>
      </c>
      <c r="H6" s="38">
        <v>50</v>
      </c>
      <c r="I6" s="38">
        <v>51</v>
      </c>
      <c r="J6" s="38">
        <v>52</v>
      </c>
      <c r="K6" s="38">
        <v>53</v>
      </c>
      <c r="L6" s="38">
        <v>54</v>
      </c>
      <c r="M6" s="38">
        <v>55</v>
      </c>
      <c r="N6" s="38">
        <v>56</v>
      </c>
      <c r="O6" s="38">
        <v>57</v>
      </c>
      <c r="W6" s="38"/>
      <c r="X6" s="38"/>
      <c r="Y6" s="38"/>
      <c r="Z6" s="38"/>
      <c r="AA6" s="96"/>
      <c r="AB6" s="39"/>
      <c r="AC6" s="39"/>
      <c r="AD6" s="39"/>
      <c r="AE6" s="39"/>
      <c r="AF6" s="38"/>
      <c r="AG6" s="38"/>
      <c r="AH6" s="38"/>
      <c r="AI6" s="38"/>
      <c r="AK6" s="40"/>
      <c r="AM6" s="38"/>
      <c r="AN6" s="38"/>
      <c r="AO6" s="39">
        <f>'Slot 11'!E9</f>
        <v>5.0594240734837292</v>
      </c>
      <c r="AP6" s="38"/>
      <c r="AQ6" s="96"/>
      <c r="AR6" s="39"/>
      <c r="AS6" s="39"/>
      <c r="AT6" s="39"/>
      <c r="AU6" s="39"/>
      <c r="AV6" s="39">
        <f>'Slot 11'!E10</f>
        <v>4.5212135921007519</v>
      </c>
      <c r="AW6" s="38"/>
      <c r="AX6" s="38"/>
      <c r="AY6" s="38"/>
      <c r="BB6" s="38"/>
      <c r="BC6" s="38"/>
      <c r="BD6" s="39"/>
      <c r="BE6" s="39">
        <f>'Slot 12'!E9</f>
        <v>4.9315566400000002</v>
      </c>
      <c r="BF6" s="96"/>
      <c r="BG6" s="39"/>
      <c r="BH6" s="39">
        <f>'Slot 12'!E10</f>
        <v>6.2792691490000001</v>
      </c>
      <c r="BI6" s="39"/>
      <c r="BJ6" s="39"/>
      <c r="BK6" s="39">
        <f>'Slot 12'!E11</f>
        <v>3.4768161219999998</v>
      </c>
      <c r="BL6" s="38"/>
      <c r="BM6" s="38"/>
      <c r="BN6" s="38"/>
      <c r="BQ6" s="39">
        <f>'Slot 15'!E9</f>
        <v>3.1316735019999999</v>
      </c>
      <c r="BR6" s="38"/>
      <c r="BS6" s="39"/>
      <c r="BT6" s="39">
        <f>'Slot 15'!E10</f>
        <v>5.9847797619999996</v>
      </c>
      <c r="BU6" s="96"/>
      <c r="BV6" s="39"/>
      <c r="BW6" s="39"/>
      <c r="BX6" s="39"/>
      <c r="BY6" s="39"/>
      <c r="BZ6" s="39">
        <f>'Slot 15'!E12</f>
        <v>5.9680225289999997</v>
      </c>
      <c r="CA6" s="38"/>
      <c r="CB6" s="38"/>
      <c r="CC6" s="38"/>
    </row>
    <row r="7" spans="3:81" ht="45" customHeight="1">
      <c r="C7" s="38">
        <v>58</v>
      </c>
      <c r="D7" s="38">
        <v>59</v>
      </c>
      <c r="E7" s="38">
        <v>60</v>
      </c>
      <c r="F7" s="38">
        <v>61</v>
      </c>
      <c r="G7" s="38">
        <v>62</v>
      </c>
      <c r="H7" s="38">
        <v>63</v>
      </c>
      <c r="I7" s="38">
        <v>64</v>
      </c>
      <c r="J7" s="38">
        <v>65</v>
      </c>
      <c r="K7" s="38">
        <v>66</v>
      </c>
      <c r="L7" s="38">
        <v>67</v>
      </c>
      <c r="M7" s="38">
        <v>68</v>
      </c>
      <c r="N7" s="38">
        <v>69</v>
      </c>
      <c r="O7" s="38">
        <v>70</v>
      </c>
      <c r="W7" s="38"/>
      <c r="X7" s="39">
        <f>'Slot 7 '!E12</f>
        <v>4.6096069079999999</v>
      </c>
      <c r="Y7" s="38"/>
      <c r="Z7" s="38"/>
      <c r="AA7" s="39"/>
      <c r="AB7" s="39"/>
      <c r="AC7" s="39"/>
      <c r="AD7" s="39"/>
      <c r="AE7" s="39"/>
      <c r="AF7" s="38"/>
      <c r="AG7" s="38"/>
      <c r="AH7" s="39"/>
      <c r="AI7" s="38"/>
      <c r="AK7" s="40"/>
      <c r="AM7" s="39">
        <f>'Slot 11'!E11</f>
        <v>4.9321930232132321</v>
      </c>
      <c r="AN7" s="39"/>
      <c r="AO7" s="38"/>
      <c r="AP7" s="38"/>
      <c r="AQ7" s="39"/>
      <c r="AR7" s="39"/>
      <c r="AS7" s="39"/>
      <c r="AT7" s="39"/>
      <c r="AU7" s="39"/>
      <c r="AV7" s="38"/>
      <c r="AW7" s="38"/>
      <c r="AX7" s="39"/>
      <c r="AY7" s="38"/>
      <c r="BB7" s="39"/>
      <c r="BC7" s="39"/>
      <c r="BD7" s="38"/>
      <c r="BE7" s="38"/>
      <c r="BF7" s="39"/>
      <c r="BG7" s="39">
        <f>'Slot 12'!E12</f>
        <v>5.2923086369999996</v>
      </c>
      <c r="BH7" s="39"/>
      <c r="BI7" s="39"/>
      <c r="BJ7" s="39"/>
      <c r="BK7" s="38"/>
      <c r="BL7" s="38"/>
      <c r="BM7" s="39"/>
      <c r="BN7" s="38"/>
      <c r="BQ7" s="39"/>
      <c r="BR7" s="39"/>
      <c r="BS7" s="38"/>
      <c r="BT7" s="38"/>
      <c r="BU7" s="39"/>
      <c r="BV7" s="39">
        <f>'Slot 15'!E13</f>
        <v>6.9911105759999996</v>
      </c>
      <c r="BW7" s="39"/>
      <c r="BX7" s="39"/>
      <c r="BY7" s="39"/>
      <c r="BZ7" s="38"/>
      <c r="CA7" s="38"/>
      <c r="CB7" s="39"/>
      <c r="CC7" s="38"/>
    </row>
    <row r="8" spans="3:81" ht="45" customHeight="1">
      <c r="C8" s="38">
        <v>71</v>
      </c>
      <c r="D8" s="38">
        <v>72</v>
      </c>
      <c r="E8" s="38">
        <v>73</v>
      </c>
      <c r="F8" s="38">
        <v>74</v>
      </c>
      <c r="G8" s="38">
        <v>75</v>
      </c>
      <c r="H8" s="38">
        <v>76</v>
      </c>
      <c r="I8" s="38">
        <v>77</v>
      </c>
      <c r="J8" s="38">
        <v>78</v>
      </c>
      <c r="K8" s="38">
        <v>79</v>
      </c>
      <c r="L8" s="38">
        <v>80</v>
      </c>
      <c r="M8" s="38">
        <v>81</v>
      </c>
      <c r="N8" s="38">
        <v>82</v>
      </c>
      <c r="O8" s="38">
        <v>83</v>
      </c>
      <c r="W8" s="38"/>
      <c r="X8" s="38"/>
      <c r="Y8" s="38"/>
      <c r="Z8" s="38"/>
      <c r="AA8" s="38"/>
      <c r="AB8" s="38"/>
      <c r="AC8" s="39"/>
      <c r="AD8" s="38"/>
      <c r="AE8" s="38"/>
      <c r="AF8" s="38"/>
      <c r="AG8" s="38"/>
      <c r="AH8" s="38"/>
      <c r="AI8" s="38"/>
      <c r="AK8" s="40"/>
      <c r="AM8" s="38"/>
      <c r="AN8" s="38"/>
      <c r="AO8" s="38"/>
      <c r="AP8" s="38"/>
      <c r="AQ8" s="38"/>
      <c r="AR8" s="39">
        <f>'Slot 11'!E12</f>
        <v>5.144772327798993</v>
      </c>
      <c r="AS8" s="39"/>
      <c r="AT8" s="38"/>
      <c r="AU8" s="38"/>
      <c r="AV8" s="38"/>
      <c r="AW8" s="38"/>
      <c r="AX8" s="38"/>
      <c r="AY8" s="38"/>
      <c r="BB8" s="38"/>
      <c r="BC8" s="39">
        <f>'Slot 12'!E13</f>
        <v>3.8239437550000002</v>
      </c>
      <c r="BD8" s="38"/>
      <c r="BE8" s="38"/>
      <c r="BF8" s="38"/>
      <c r="BG8" s="39"/>
      <c r="BH8" s="39"/>
      <c r="BI8" s="39">
        <f>'Slot 12'!E14</f>
        <v>4.0410066740000001</v>
      </c>
      <c r="BJ8" s="38"/>
      <c r="BK8" s="38"/>
      <c r="BL8" s="38"/>
      <c r="BM8" s="38"/>
      <c r="BN8" s="38"/>
      <c r="BQ8" s="38"/>
      <c r="BR8" s="39">
        <f>'Slot 15'!E14</f>
        <v>4.2805663540000003</v>
      </c>
      <c r="BS8" s="38"/>
      <c r="BT8" s="38"/>
      <c r="BU8" s="38"/>
      <c r="BV8" s="39"/>
      <c r="BW8" s="39"/>
      <c r="BX8" s="39">
        <f>'Slot 15'!E15</f>
        <v>4.8450666299999998</v>
      </c>
      <c r="BY8" s="38"/>
      <c r="BZ8" s="38"/>
      <c r="CA8" s="38"/>
      <c r="CB8" s="38"/>
      <c r="CC8" s="38"/>
    </row>
    <row r="9" spans="3:81" ht="45" customHeight="1">
      <c r="C9" s="37"/>
      <c r="D9" s="38">
        <v>84</v>
      </c>
      <c r="E9" s="38">
        <v>85</v>
      </c>
      <c r="F9" s="38">
        <v>86</v>
      </c>
      <c r="G9" s="38">
        <v>87</v>
      </c>
      <c r="H9" s="38">
        <v>88</v>
      </c>
      <c r="I9" s="38">
        <v>89</v>
      </c>
      <c r="J9" s="38">
        <v>90</v>
      </c>
      <c r="K9" s="38">
        <v>91</v>
      </c>
      <c r="L9" s="38">
        <v>92</v>
      </c>
      <c r="M9" s="38">
        <v>93</v>
      </c>
      <c r="N9" s="38">
        <v>94</v>
      </c>
      <c r="O9" s="37"/>
      <c r="W9" s="37"/>
      <c r="X9" s="38"/>
      <c r="Y9" s="38"/>
      <c r="Z9" s="38"/>
      <c r="AA9" s="38"/>
      <c r="AB9" s="39">
        <f>'Slot 7 '!E17</f>
        <v>4.050785952</v>
      </c>
      <c r="AC9" s="38"/>
      <c r="AD9" s="38"/>
      <c r="AE9" s="38"/>
      <c r="AF9" s="38"/>
      <c r="AG9" s="38"/>
      <c r="AH9" s="38"/>
      <c r="AI9" s="37"/>
      <c r="AK9" s="40"/>
      <c r="AM9" s="37"/>
      <c r="AN9" s="38"/>
      <c r="AO9" s="38"/>
      <c r="AP9" s="38"/>
      <c r="AQ9" s="38"/>
      <c r="AR9" s="38"/>
      <c r="AS9" s="39">
        <f>'Slot 11'!E13</f>
        <v>4.4133391833875422</v>
      </c>
      <c r="AT9" s="38"/>
      <c r="AU9" s="38"/>
      <c r="AV9" s="38"/>
      <c r="AW9" s="38"/>
      <c r="AX9" s="38"/>
      <c r="AY9" s="37"/>
      <c r="BB9" s="37"/>
      <c r="BC9" s="38"/>
      <c r="BD9" s="38"/>
      <c r="BE9" s="38"/>
      <c r="BF9" s="38"/>
      <c r="BG9" s="38"/>
      <c r="BH9" s="39"/>
      <c r="BI9" s="38"/>
      <c r="BJ9" s="38"/>
      <c r="BK9" s="38"/>
      <c r="BL9" s="38"/>
      <c r="BM9" s="38"/>
      <c r="BN9" s="37"/>
      <c r="BQ9" s="37"/>
      <c r="BR9" s="38"/>
      <c r="BS9" s="38"/>
      <c r="BT9" s="38"/>
      <c r="BU9" s="38"/>
      <c r="BV9" s="38"/>
      <c r="BW9" s="39"/>
      <c r="BX9" s="38"/>
      <c r="BY9" s="38"/>
      <c r="BZ9" s="38"/>
      <c r="CA9" s="38"/>
      <c r="CB9" s="38"/>
      <c r="CC9" s="37"/>
    </row>
    <row r="10" spans="3:81" ht="45" customHeight="1">
      <c r="C10" s="37"/>
      <c r="D10" s="37"/>
      <c r="E10" s="37"/>
      <c r="F10" s="38">
        <v>95</v>
      </c>
      <c r="G10" s="38">
        <v>96</v>
      </c>
      <c r="H10" s="38">
        <v>97</v>
      </c>
      <c r="I10" s="38">
        <v>98</v>
      </c>
      <c r="J10" s="38">
        <v>99</v>
      </c>
      <c r="K10" s="38">
        <v>100</v>
      </c>
      <c r="L10" s="38">
        <v>101</v>
      </c>
      <c r="M10" s="37"/>
      <c r="N10" s="37"/>
      <c r="O10" s="37"/>
      <c r="W10" s="37"/>
      <c r="X10" s="37"/>
      <c r="Y10" s="37"/>
      <c r="Z10" s="38"/>
      <c r="AA10" s="39"/>
      <c r="AB10" s="38"/>
      <c r="AC10" s="38"/>
      <c r="AD10" s="38"/>
      <c r="AE10" s="39"/>
      <c r="AF10" s="38"/>
      <c r="AG10" s="37"/>
      <c r="AH10" s="37"/>
      <c r="AI10" s="37"/>
      <c r="AK10" s="40"/>
      <c r="AM10" s="37"/>
      <c r="AN10" s="37"/>
      <c r="AO10" s="37"/>
      <c r="AP10" s="38"/>
      <c r="AQ10" s="39"/>
      <c r="AR10" s="38"/>
      <c r="AS10" s="38"/>
      <c r="AT10" s="38"/>
      <c r="AU10" s="39">
        <f>'Slot 11'!E15</f>
        <v>5.6714595123776324</v>
      </c>
      <c r="AV10" s="38"/>
      <c r="AW10" s="37"/>
      <c r="AX10" s="37"/>
      <c r="AY10" s="37"/>
      <c r="BB10" s="37"/>
      <c r="BC10" s="37"/>
      <c r="BD10" s="37"/>
      <c r="BE10" s="38"/>
      <c r="BF10" s="39"/>
      <c r="BG10" s="38"/>
      <c r="BH10" s="38"/>
      <c r="BI10" s="38"/>
      <c r="BJ10" s="39"/>
      <c r="BK10" s="38"/>
      <c r="BL10" s="37"/>
      <c r="BM10" s="37"/>
      <c r="BN10" s="37"/>
      <c r="BQ10" s="37"/>
      <c r="BR10" s="37"/>
      <c r="BS10" s="37"/>
      <c r="BT10" s="38"/>
      <c r="BU10" s="39"/>
      <c r="BV10" s="38"/>
      <c r="BW10" s="38"/>
      <c r="BX10" s="38"/>
      <c r="BY10" s="39"/>
      <c r="BZ10" s="38"/>
      <c r="CA10" s="37"/>
      <c r="CB10" s="37"/>
      <c r="CC10" s="37"/>
    </row>
    <row r="11" spans="3:81" ht="45" customHeight="1">
      <c r="AK11" s="40"/>
    </row>
    <row r="12" spans="3:81" ht="45" customHeight="1">
      <c r="C12" s="44" t="s">
        <v>74</v>
      </c>
      <c r="W12" s="44" t="s">
        <v>75</v>
      </c>
      <c r="AM12" s="44" t="s">
        <v>75</v>
      </c>
    </row>
    <row r="13" spans="3:81" ht="45" customHeight="1">
      <c r="C13" s="37"/>
      <c r="D13" s="37"/>
      <c r="E13" s="37"/>
      <c r="F13" s="38">
        <v>1</v>
      </c>
      <c r="G13" s="38">
        <v>2</v>
      </c>
      <c r="H13" s="38">
        <v>3</v>
      </c>
      <c r="I13" s="38">
        <v>4</v>
      </c>
      <c r="J13" s="38">
        <v>5</v>
      </c>
      <c r="K13" s="38">
        <v>6</v>
      </c>
      <c r="L13" s="38">
        <v>7</v>
      </c>
      <c r="M13" s="37"/>
      <c r="N13" s="37"/>
      <c r="O13" s="37"/>
      <c r="W13" s="37"/>
      <c r="X13" s="37"/>
      <c r="Y13" s="37"/>
      <c r="Z13" s="45">
        <v>1</v>
      </c>
      <c r="AA13" s="38">
        <v>2</v>
      </c>
      <c r="AB13" s="38">
        <v>3</v>
      </c>
      <c r="AC13" s="46">
        <v>4</v>
      </c>
      <c r="AD13" s="38">
        <v>5</v>
      </c>
      <c r="AE13" s="38">
        <v>6</v>
      </c>
      <c r="AF13" s="38">
        <v>7</v>
      </c>
      <c r="AG13" s="37"/>
      <c r="AH13" s="37"/>
      <c r="AI13" s="37"/>
      <c r="AM13" s="37"/>
      <c r="AN13" s="37"/>
      <c r="AO13" s="37"/>
      <c r="AP13" s="45"/>
      <c r="AQ13" s="38"/>
      <c r="AR13" s="38"/>
      <c r="AS13" s="46">
        <v>1</v>
      </c>
      <c r="AT13" s="38">
        <v>2</v>
      </c>
      <c r="AU13" s="38">
        <v>3</v>
      </c>
      <c r="AV13" s="38">
        <v>4</v>
      </c>
      <c r="AW13" s="37">
        <v>5</v>
      </c>
      <c r="AX13" s="37">
        <v>6</v>
      </c>
      <c r="AY13" s="37">
        <v>7</v>
      </c>
    </row>
    <row r="14" spans="3:81" ht="45" customHeight="1">
      <c r="C14" s="37"/>
      <c r="D14" s="38">
        <v>8</v>
      </c>
      <c r="E14" s="38">
        <v>9</v>
      </c>
      <c r="F14" s="38">
        <v>10</v>
      </c>
      <c r="G14" s="38">
        <v>11</v>
      </c>
      <c r="H14" s="38">
        <v>12</v>
      </c>
      <c r="I14" s="38">
        <v>13</v>
      </c>
      <c r="J14" s="38">
        <v>14</v>
      </c>
      <c r="K14" s="38">
        <v>15</v>
      </c>
      <c r="L14" s="38">
        <v>16</v>
      </c>
      <c r="M14" s="38">
        <v>17</v>
      </c>
      <c r="N14" s="38">
        <v>18</v>
      </c>
      <c r="O14" s="37"/>
      <c r="W14" s="37"/>
      <c r="X14" s="47">
        <v>8</v>
      </c>
      <c r="Y14" s="38">
        <v>9</v>
      </c>
      <c r="Z14" s="38">
        <v>10</v>
      </c>
      <c r="AA14" s="38">
        <v>11</v>
      </c>
      <c r="AB14" s="47">
        <v>12</v>
      </c>
      <c r="AC14" s="38">
        <v>13</v>
      </c>
      <c r="AD14" s="38">
        <v>14</v>
      </c>
      <c r="AE14" s="38">
        <v>15</v>
      </c>
      <c r="AF14" s="47">
        <v>16</v>
      </c>
      <c r="AG14" s="38">
        <v>17</v>
      </c>
      <c r="AH14" s="38">
        <v>18</v>
      </c>
      <c r="AI14" s="37"/>
      <c r="AM14" s="37"/>
      <c r="AN14" s="38"/>
      <c r="AO14" s="38"/>
      <c r="AP14" s="38"/>
      <c r="AQ14" s="38">
        <v>8</v>
      </c>
      <c r="AR14" s="38">
        <v>9</v>
      </c>
      <c r="AS14" s="38">
        <v>10</v>
      </c>
      <c r="AT14" s="38">
        <v>11</v>
      </c>
      <c r="AU14" s="38">
        <v>12</v>
      </c>
      <c r="AV14" s="38">
        <v>13</v>
      </c>
      <c r="AW14" s="38">
        <v>14</v>
      </c>
      <c r="AX14" s="38">
        <v>15</v>
      </c>
      <c r="AY14" s="37">
        <v>16</v>
      </c>
      <c r="AZ14">
        <v>17</v>
      </c>
      <c r="BA14">
        <v>18</v>
      </c>
    </row>
    <row r="15" spans="3:81" ht="45" customHeight="1">
      <c r="C15" s="38">
        <v>19</v>
      </c>
      <c r="D15" s="38">
        <v>20</v>
      </c>
      <c r="E15" s="38">
        <v>21</v>
      </c>
      <c r="F15" s="38">
        <v>22</v>
      </c>
      <c r="G15" s="38">
        <v>23</v>
      </c>
      <c r="H15" s="38">
        <v>24</v>
      </c>
      <c r="I15" s="38">
        <v>25</v>
      </c>
      <c r="J15" s="38">
        <v>26</v>
      </c>
      <c r="K15" s="38">
        <v>27</v>
      </c>
      <c r="L15" s="38">
        <v>28</v>
      </c>
      <c r="M15" s="38">
        <v>29</v>
      </c>
      <c r="N15" s="38">
        <v>30</v>
      </c>
      <c r="O15" s="38">
        <v>31</v>
      </c>
      <c r="W15" s="38">
        <v>19</v>
      </c>
      <c r="X15" s="38">
        <v>20</v>
      </c>
      <c r="Y15" s="38">
        <v>21</v>
      </c>
      <c r="Z15" s="38">
        <v>22</v>
      </c>
      <c r="AA15" s="38">
        <v>23</v>
      </c>
      <c r="AB15" s="38">
        <v>24</v>
      </c>
      <c r="AC15" s="38">
        <v>25</v>
      </c>
      <c r="AD15" s="38">
        <v>26</v>
      </c>
      <c r="AE15" s="38">
        <v>27</v>
      </c>
      <c r="AF15" s="38">
        <v>28</v>
      </c>
      <c r="AG15" s="38">
        <v>29</v>
      </c>
      <c r="AH15" s="38">
        <v>30</v>
      </c>
      <c r="AI15" s="38">
        <v>31</v>
      </c>
      <c r="AM15" s="38"/>
      <c r="AN15" s="38"/>
      <c r="AO15" s="38"/>
      <c r="AP15" s="38">
        <v>19</v>
      </c>
      <c r="AQ15" s="38">
        <v>20</v>
      </c>
      <c r="AR15" s="38">
        <v>21</v>
      </c>
      <c r="AS15" s="38">
        <v>22</v>
      </c>
      <c r="AT15" s="38">
        <v>23</v>
      </c>
      <c r="AU15" s="38">
        <v>24</v>
      </c>
      <c r="AV15" s="38">
        <v>25</v>
      </c>
      <c r="AW15" s="38">
        <v>26</v>
      </c>
      <c r="AX15" s="38">
        <v>27</v>
      </c>
      <c r="AY15" s="38">
        <v>28</v>
      </c>
      <c r="AZ15">
        <v>29</v>
      </c>
      <c r="BA15">
        <v>30</v>
      </c>
      <c r="BB15">
        <v>31</v>
      </c>
    </row>
    <row r="16" spans="3:81" ht="45" customHeight="1">
      <c r="C16" s="38">
        <v>32</v>
      </c>
      <c r="D16" s="38">
        <v>33</v>
      </c>
      <c r="E16" s="38">
        <v>34</v>
      </c>
      <c r="F16" s="38">
        <v>35</v>
      </c>
      <c r="G16" s="38">
        <v>36</v>
      </c>
      <c r="H16" s="38">
        <v>37</v>
      </c>
      <c r="I16" s="38">
        <v>38</v>
      </c>
      <c r="J16" s="38">
        <v>39</v>
      </c>
      <c r="K16" s="38">
        <v>40</v>
      </c>
      <c r="L16" s="38">
        <v>41</v>
      </c>
      <c r="M16" s="38">
        <v>42</v>
      </c>
      <c r="N16" s="38">
        <v>43</v>
      </c>
      <c r="O16" s="38">
        <v>44</v>
      </c>
      <c r="W16" s="38">
        <v>32</v>
      </c>
      <c r="X16" s="47">
        <v>33</v>
      </c>
      <c r="Y16" s="38">
        <v>34</v>
      </c>
      <c r="Z16" s="47">
        <v>35</v>
      </c>
      <c r="AA16" s="38">
        <v>36</v>
      </c>
      <c r="AB16" s="47">
        <v>37</v>
      </c>
      <c r="AC16" s="38">
        <v>38</v>
      </c>
      <c r="AD16" s="38">
        <v>39</v>
      </c>
      <c r="AE16" s="38">
        <v>40</v>
      </c>
      <c r="AF16" s="47">
        <v>41</v>
      </c>
      <c r="AG16" s="38">
        <v>42</v>
      </c>
      <c r="AH16" s="38">
        <v>43</v>
      </c>
      <c r="AI16" s="38">
        <v>44</v>
      </c>
      <c r="AM16" s="38"/>
      <c r="AN16" s="38"/>
      <c r="AO16" s="38"/>
      <c r="AP16" s="38">
        <v>32</v>
      </c>
      <c r="AQ16" s="38">
        <v>33</v>
      </c>
      <c r="AR16" s="38">
        <v>34</v>
      </c>
      <c r="AS16" s="38">
        <v>35</v>
      </c>
      <c r="AT16" s="38">
        <v>36</v>
      </c>
      <c r="AU16" s="38">
        <v>37</v>
      </c>
      <c r="AV16" s="38">
        <v>38</v>
      </c>
      <c r="AW16" s="38">
        <v>39</v>
      </c>
      <c r="AX16" s="38">
        <v>40</v>
      </c>
      <c r="AY16" s="38">
        <v>41</v>
      </c>
      <c r="AZ16">
        <v>42</v>
      </c>
      <c r="BA16">
        <v>43</v>
      </c>
      <c r="BB16">
        <v>44</v>
      </c>
    </row>
    <row r="17" spans="3:54" ht="45" customHeight="1">
      <c r="C17" s="38">
        <v>45</v>
      </c>
      <c r="D17" s="38">
        <v>46</v>
      </c>
      <c r="E17" s="38">
        <v>47</v>
      </c>
      <c r="F17" s="38">
        <v>48</v>
      </c>
      <c r="G17" s="38">
        <v>49</v>
      </c>
      <c r="H17" s="38">
        <v>50</v>
      </c>
      <c r="I17" s="38">
        <v>51</v>
      </c>
      <c r="J17" s="38">
        <v>52</v>
      </c>
      <c r="K17" s="38">
        <v>53</v>
      </c>
      <c r="L17" s="38">
        <v>54</v>
      </c>
      <c r="M17" s="38">
        <v>55</v>
      </c>
      <c r="N17" s="38">
        <v>56</v>
      </c>
      <c r="O17" s="38">
        <v>57</v>
      </c>
      <c r="W17" s="38">
        <v>45</v>
      </c>
      <c r="X17" s="38">
        <v>46</v>
      </c>
      <c r="Y17" s="38">
        <v>47</v>
      </c>
      <c r="Z17" s="38">
        <v>48</v>
      </c>
      <c r="AA17" s="38">
        <v>49</v>
      </c>
      <c r="AB17" s="38">
        <v>50</v>
      </c>
      <c r="AC17" s="38">
        <v>51</v>
      </c>
      <c r="AD17" s="38">
        <v>52</v>
      </c>
      <c r="AE17" s="38">
        <v>53</v>
      </c>
      <c r="AF17" s="38">
        <v>54</v>
      </c>
      <c r="AG17" s="38">
        <v>55</v>
      </c>
      <c r="AH17" s="38">
        <v>56</v>
      </c>
      <c r="AI17" s="38">
        <v>57</v>
      </c>
      <c r="AM17" s="38"/>
      <c r="AN17" s="38"/>
      <c r="AO17" s="38"/>
      <c r="AP17" s="38">
        <v>45</v>
      </c>
      <c r="AQ17" s="38">
        <v>46</v>
      </c>
      <c r="AR17" s="38">
        <v>47</v>
      </c>
      <c r="AS17" s="38">
        <v>48</v>
      </c>
      <c r="AT17" s="38">
        <v>49</v>
      </c>
      <c r="AU17" s="38">
        <v>50</v>
      </c>
      <c r="AV17" s="38">
        <v>51</v>
      </c>
      <c r="AW17" s="38">
        <v>52</v>
      </c>
      <c r="AX17" s="38">
        <v>53</v>
      </c>
      <c r="AY17" s="38">
        <v>54</v>
      </c>
      <c r="AZ17">
        <v>55</v>
      </c>
      <c r="BA17">
        <v>56</v>
      </c>
      <c r="BB17">
        <v>57</v>
      </c>
    </row>
    <row r="18" spans="3:54" ht="45" customHeight="1">
      <c r="C18" s="38">
        <v>58</v>
      </c>
      <c r="D18" s="38">
        <v>59</v>
      </c>
      <c r="E18" s="38">
        <v>60</v>
      </c>
      <c r="F18" s="38">
        <v>61</v>
      </c>
      <c r="G18" s="38">
        <v>62</v>
      </c>
      <c r="H18" s="38">
        <v>63</v>
      </c>
      <c r="I18" s="38">
        <v>64</v>
      </c>
      <c r="J18" s="38">
        <v>65</v>
      </c>
      <c r="K18" s="38">
        <v>66</v>
      </c>
      <c r="L18" s="38">
        <v>67</v>
      </c>
      <c r="M18" s="38">
        <v>68</v>
      </c>
      <c r="N18" s="38">
        <v>69</v>
      </c>
      <c r="O18" s="38">
        <v>70</v>
      </c>
      <c r="W18" s="38">
        <v>58</v>
      </c>
      <c r="X18" s="47">
        <v>59</v>
      </c>
      <c r="Y18" s="38">
        <v>60</v>
      </c>
      <c r="Z18" s="38">
        <v>61</v>
      </c>
      <c r="AA18" s="38">
        <v>62</v>
      </c>
      <c r="AB18" s="47">
        <v>63</v>
      </c>
      <c r="AC18" s="38">
        <v>64</v>
      </c>
      <c r="AD18" s="47">
        <v>65</v>
      </c>
      <c r="AE18" s="38">
        <v>66</v>
      </c>
      <c r="AF18" s="47">
        <v>67</v>
      </c>
      <c r="AG18" s="38">
        <v>68</v>
      </c>
      <c r="AH18" s="38">
        <v>69</v>
      </c>
      <c r="AI18" s="38">
        <v>70</v>
      </c>
      <c r="AM18" s="38"/>
      <c r="AN18" s="38"/>
      <c r="AO18" s="38"/>
      <c r="AP18" s="38">
        <v>58</v>
      </c>
      <c r="AQ18" s="38">
        <v>59</v>
      </c>
      <c r="AR18" s="38">
        <v>60</v>
      </c>
      <c r="AS18" s="38">
        <v>61</v>
      </c>
      <c r="AT18" s="38">
        <v>62</v>
      </c>
      <c r="AU18" s="38">
        <v>63</v>
      </c>
      <c r="AV18" s="38">
        <v>64</v>
      </c>
      <c r="AW18" s="38">
        <v>65</v>
      </c>
      <c r="AX18" s="38">
        <v>66</v>
      </c>
      <c r="AY18" s="38">
        <v>67</v>
      </c>
      <c r="AZ18">
        <v>68</v>
      </c>
      <c r="BA18">
        <v>69</v>
      </c>
      <c r="BB18">
        <v>70</v>
      </c>
    </row>
    <row r="19" spans="3:54" ht="45" customHeight="1">
      <c r="C19" s="38">
        <v>71</v>
      </c>
      <c r="D19" s="38">
        <v>72</v>
      </c>
      <c r="E19" s="38">
        <v>73</v>
      </c>
      <c r="F19" s="38">
        <v>74</v>
      </c>
      <c r="G19" s="38">
        <v>75</v>
      </c>
      <c r="H19" s="38">
        <v>76</v>
      </c>
      <c r="I19" s="38">
        <v>77</v>
      </c>
      <c r="J19" s="38">
        <v>78</v>
      </c>
      <c r="K19" s="38">
        <v>79</v>
      </c>
      <c r="L19" s="38">
        <v>80</v>
      </c>
      <c r="M19" s="38">
        <v>81</v>
      </c>
      <c r="N19" s="38">
        <v>82</v>
      </c>
      <c r="O19" s="38">
        <v>83</v>
      </c>
      <c r="W19" s="38">
        <v>71</v>
      </c>
      <c r="X19" s="38">
        <v>72</v>
      </c>
      <c r="Y19" s="38">
        <v>73</v>
      </c>
      <c r="Z19" s="38">
        <v>74</v>
      </c>
      <c r="AA19" s="38">
        <v>75</v>
      </c>
      <c r="AB19" s="38">
        <v>76</v>
      </c>
      <c r="AC19" s="38">
        <v>77</v>
      </c>
      <c r="AD19" s="38">
        <v>78</v>
      </c>
      <c r="AE19" s="38">
        <v>79</v>
      </c>
      <c r="AF19" s="38">
        <v>80</v>
      </c>
      <c r="AG19" s="38">
        <v>81</v>
      </c>
      <c r="AH19" s="38">
        <v>82</v>
      </c>
      <c r="AI19" s="38">
        <v>83</v>
      </c>
      <c r="AM19" s="38"/>
      <c r="AN19" s="38"/>
      <c r="AO19" s="38"/>
      <c r="AP19" s="38">
        <v>71</v>
      </c>
      <c r="AQ19" s="38">
        <v>72</v>
      </c>
      <c r="AR19" s="38">
        <v>73</v>
      </c>
      <c r="AS19" s="38">
        <v>74</v>
      </c>
      <c r="AT19" s="38">
        <v>75</v>
      </c>
      <c r="AU19" s="38">
        <v>76</v>
      </c>
      <c r="AV19" s="38">
        <v>77</v>
      </c>
      <c r="AW19" s="38">
        <v>78</v>
      </c>
      <c r="AX19" s="38">
        <v>79</v>
      </c>
      <c r="AY19" s="38">
        <v>80</v>
      </c>
      <c r="AZ19">
        <v>81</v>
      </c>
      <c r="BA19">
        <v>82</v>
      </c>
      <c r="BB19">
        <v>83</v>
      </c>
    </row>
    <row r="20" spans="3:54" ht="45" customHeight="1">
      <c r="C20" s="37"/>
      <c r="D20" s="38">
        <v>84</v>
      </c>
      <c r="E20" s="38">
        <v>85</v>
      </c>
      <c r="F20" s="38">
        <v>86</v>
      </c>
      <c r="G20" s="38">
        <v>87</v>
      </c>
      <c r="H20" s="38">
        <v>88</v>
      </c>
      <c r="I20" s="38">
        <v>89</v>
      </c>
      <c r="J20" s="38">
        <v>90</v>
      </c>
      <c r="K20" s="38">
        <v>91</v>
      </c>
      <c r="L20" s="38">
        <v>92</v>
      </c>
      <c r="M20" s="38">
        <v>93</v>
      </c>
      <c r="N20" s="38">
        <v>94</v>
      </c>
      <c r="O20" s="37"/>
      <c r="W20" s="37"/>
      <c r="X20" s="47">
        <v>84</v>
      </c>
      <c r="Y20" s="38">
        <v>85</v>
      </c>
      <c r="Z20" s="38">
        <v>86</v>
      </c>
      <c r="AA20" s="38">
        <v>87</v>
      </c>
      <c r="AB20" s="47">
        <v>88</v>
      </c>
      <c r="AC20" s="38">
        <v>89</v>
      </c>
      <c r="AD20" s="38">
        <v>90</v>
      </c>
      <c r="AE20" s="38">
        <v>91</v>
      </c>
      <c r="AF20" s="47">
        <v>92</v>
      </c>
      <c r="AG20" s="38">
        <v>93</v>
      </c>
      <c r="AH20" s="38">
        <v>94</v>
      </c>
      <c r="AI20" s="37"/>
      <c r="AM20" s="37"/>
      <c r="AN20" s="38"/>
      <c r="AO20" s="38"/>
      <c r="AP20" s="38"/>
      <c r="AQ20" s="38">
        <v>84</v>
      </c>
      <c r="AR20" s="38">
        <v>85</v>
      </c>
      <c r="AS20" s="38">
        <v>86</v>
      </c>
      <c r="AT20" s="38">
        <v>87</v>
      </c>
      <c r="AU20" s="38">
        <v>88</v>
      </c>
      <c r="AV20" s="38">
        <v>89</v>
      </c>
      <c r="AW20" s="38">
        <v>90</v>
      </c>
      <c r="AX20" s="38">
        <v>91</v>
      </c>
      <c r="AY20" s="37">
        <v>92</v>
      </c>
      <c r="AZ20">
        <v>93</v>
      </c>
      <c r="BA20">
        <v>94</v>
      </c>
    </row>
    <row r="21" spans="3:54" ht="45" customHeight="1">
      <c r="C21" s="37"/>
      <c r="D21" s="37"/>
      <c r="E21" s="37"/>
      <c r="F21" s="38">
        <v>95</v>
      </c>
      <c r="G21" s="38">
        <v>96</v>
      </c>
      <c r="H21" s="38">
        <v>97</v>
      </c>
      <c r="I21" s="38">
        <v>98</v>
      </c>
      <c r="J21" s="38">
        <v>99</v>
      </c>
      <c r="K21" s="38">
        <v>100</v>
      </c>
      <c r="L21" s="38">
        <v>101</v>
      </c>
      <c r="M21" s="37"/>
      <c r="N21" s="37"/>
      <c r="O21" s="37"/>
      <c r="W21" s="37"/>
      <c r="X21" s="37"/>
      <c r="Y21" s="37"/>
      <c r="Z21" s="38">
        <v>95</v>
      </c>
      <c r="AA21" s="38">
        <v>96</v>
      </c>
      <c r="AB21" s="38">
        <v>97</v>
      </c>
      <c r="AC21" s="38">
        <v>98</v>
      </c>
      <c r="AD21" s="38">
        <v>99</v>
      </c>
      <c r="AE21" s="38">
        <v>100</v>
      </c>
      <c r="AF21" s="38">
        <v>101</v>
      </c>
      <c r="AG21" s="37"/>
      <c r="AH21" s="37"/>
      <c r="AI21" s="37"/>
      <c r="AM21" s="37"/>
      <c r="AN21" s="37"/>
      <c r="AO21" s="37"/>
      <c r="AP21" s="38"/>
      <c r="AQ21" s="38"/>
      <c r="AR21" s="38"/>
      <c r="AS21" s="38">
        <v>95</v>
      </c>
      <c r="AT21" s="38">
        <v>96</v>
      </c>
      <c r="AU21" s="38">
        <v>97</v>
      </c>
      <c r="AV21" s="38">
        <v>98</v>
      </c>
      <c r="AW21" s="37">
        <v>99</v>
      </c>
      <c r="AX21" s="37">
        <v>100</v>
      </c>
      <c r="AY21" s="37">
        <v>101</v>
      </c>
    </row>
  </sheetData>
  <conditionalFormatting sqref="X2:AI10">
    <cfRule type="colorScale" priority="1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C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:AJ10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2:AY10">
    <cfRule type="colorScale" priority="1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M3:AY1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:AY10">
    <cfRule type="colorScale" priority="1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O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:BN10">
    <cfRule type="colorScale" priority="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BB3:BN1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:BN10">
    <cfRule type="colorScale" priority="1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BD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:CC10">
    <cfRule type="colorScale" priority="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BQ3:CC1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2:CC10">
    <cfRule type="colorScale" priority="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BS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W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6D42-D98B-4250-9E63-03AA5724E823}">
  <dimension ref="C2:AQ17"/>
  <sheetViews>
    <sheetView zoomScale="55" zoomScaleNormal="55" workbookViewId="0">
      <selection activeCell="Q10" sqref="Q10"/>
    </sheetView>
    <sheetView workbookViewId="1"/>
  </sheetViews>
  <sheetFormatPr defaultColWidth="6.7109375" defaultRowHeight="45" customHeight="1"/>
  <sheetData>
    <row r="2" spans="3:43" ht="45" customHeight="1">
      <c r="D2" s="53" t="s">
        <v>40</v>
      </c>
      <c r="AA2" s="53" t="s">
        <v>40</v>
      </c>
    </row>
    <row r="3" spans="3:43" ht="45" customHeight="1">
      <c r="F3" s="240" t="s">
        <v>54</v>
      </c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AC3" s="240" t="s">
        <v>54</v>
      </c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</row>
    <row r="4" spans="3:43" ht="45" customHeight="1">
      <c r="F4" s="241" t="s">
        <v>59</v>
      </c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AC4" s="241" t="s">
        <v>59</v>
      </c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</row>
    <row r="5" spans="3:43" ht="45" customHeight="1">
      <c r="F5" s="48">
        <v>0</v>
      </c>
      <c r="G5" s="48">
        <v>1</v>
      </c>
      <c r="H5" s="48">
        <v>2</v>
      </c>
      <c r="I5" s="48">
        <v>3</v>
      </c>
      <c r="J5" s="48">
        <v>4</v>
      </c>
      <c r="K5" s="48">
        <v>5</v>
      </c>
      <c r="L5" s="48">
        <v>6</v>
      </c>
      <c r="M5" s="48">
        <v>7</v>
      </c>
      <c r="N5" s="48">
        <v>8</v>
      </c>
      <c r="O5" s="48">
        <v>9</v>
      </c>
      <c r="P5" s="48">
        <v>10</v>
      </c>
      <c r="Q5" s="48">
        <v>11</v>
      </c>
      <c r="R5" s="48">
        <v>12</v>
      </c>
      <c r="S5" s="48">
        <v>13</v>
      </c>
      <c r="T5" s="48">
        <v>14</v>
      </c>
      <c r="AC5" s="48">
        <v>0</v>
      </c>
      <c r="AD5" s="48">
        <v>1</v>
      </c>
      <c r="AE5" s="48">
        <v>2</v>
      </c>
      <c r="AF5" s="48">
        <v>3</v>
      </c>
      <c r="AG5" s="48">
        <v>4</v>
      </c>
      <c r="AH5" s="48">
        <v>5</v>
      </c>
      <c r="AI5" s="48">
        <v>6</v>
      </c>
      <c r="AJ5" s="48">
        <v>7</v>
      </c>
      <c r="AK5" s="48">
        <v>8</v>
      </c>
      <c r="AL5" s="48">
        <v>9</v>
      </c>
      <c r="AM5" s="48">
        <v>10</v>
      </c>
      <c r="AN5" s="48">
        <v>11</v>
      </c>
      <c r="AO5" s="48">
        <v>12</v>
      </c>
      <c r="AP5" s="48">
        <v>13</v>
      </c>
      <c r="AQ5" s="48">
        <v>14</v>
      </c>
    </row>
    <row r="6" spans="3:43" ht="45" customHeight="1">
      <c r="F6" s="49">
        <v>-7</v>
      </c>
      <c r="G6" s="49">
        <v>-6</v>
      </c>
      <c r="H6" s="49">
        <v>-5</v>
      </c>
      <c r="I6" s="49">
        <v>-4</v>
      </c>
      <c r="J6" s="49">
        <v>-3</v>
      </c>
      <c r="K6" s="49">
        <v>-2</v>
      </c>
      <c r="L6" s="49">
        <v>-1</v>
      </c>
      <c r="M6" s="49">
        <v>0</v>
      </c>
      <c r="N6" s="49">
        <v>1</v>
      </c>
      <c r="O6" s="49">
        <v>2</v>
      </c>
      <c r="P6" s="49">
        <v>3</v>
      </c>
      <c r="Q6" s="49">
        <v>4</v>
      </c>
      <c r="R6" s="49">
        <v>5</v>
      </c>
      <c r="S6" s="49">
        <v>6</v>
      </c>
      <c r="T6" s="49">
        <v>7</v>
      </c>
      <c r="AC6" s="49">
        <v>-7</v>
      </c>
      <c r="AD6" s="49">
        <v>-6</v>
      </c>
      <c r="AE6" s="49">
        <v>-5</v>
      </c>
      <c r="AF6" s="49">
        <v>-4</v>
      </c>
      <c r="AG6" s="49">
        <v>-3</v>
      </c>
      <c r="AH6" s="49">
        <v>-2</v>
      </c>
      <c r="AI6" s="49">
        <v>-1</v>
      </c>
      <c r="AJ6" s="49">
        <v>0</v>
      </c>
      <c r="AK6" s="49">
        <v>1</v>
      </c>
      <c r="AL6" s="49">
        <v>2</v>
      </c>
      <c r="AM6" s="49">
        <v>3</v>
      </c>
      <c r="AN6" s="49">
        <v>4</v>
      </c>
      <c r="AO6" s="49">
        <v>5</v>
      </c>
      <c r="AP6" s="49">
        <v>6</v>
      </c>
      <c r="AQ6" s="49">
        <v>7</v>
      </c>
    </row>
    <row r="7" spans="3:43" ht="45" customHeight="1">
      <c r="C7" s="242" t="s">
        <v>60</v>
      </c>
      <c r="D7" s="48">
        <v>10</v>
      </c>
      <c r="E7" s="50">
        <v>5</v>
      </c>
      <c r="Z7" s="242" t="s">
        <v>60</v>
      </c>
      <c r="AA7" s="48">
        <v>10</v>
      </c>
      <c r="AB7" s="50">
        <v>5</v>
      </c>
    </row>
    <row r="8" spans="3:43" ht="45" customHeight="1">
      <c r="C8" s="242"/>
      <c r="D8" s="48">
        <v>9</v>
      </c>
      <c r="E8" s="50">
        <v>4</v>
      </c>
      <c r="G8" s="37"/>
      <c r="H8" s="37"/>
      <c r="I8" s="37"/>
      <c r="J8" s="38">
        <v>1</v>
      </c>
      <c r="K8" s="54">
        <v>2</v>
      </c>
      <c r="L8" s="54">
        <v>3</v>
      </c>
      <c r="M8" s="54">
        <v>4</v>
      </c>
      <c r="N8" s="54">
        <v>5</v>
      </c>
      <c r="O8" s="54">
        <v>6</v>
      </c>
      <c r="P8" s="54">
        <v>7</v>
      </c>
      <c r="Q8" s="37"/>
      <c r="R8" s="37"/>
      <c r="S8" s="37"/>
      <c r="Z8" s="242"/>
      <c r="AA8" s="48">
        <v>9</v>
      </c>
      <c r="AB8" s="50">
        <v>4</v>
      </c>
      <c r="AD8" s="37"/>
      <c r="AE8" s="37"/>
      <c r="AF8" s="37"/>
      <c r="AG8" s="38">
        <v>1</v>
      </c>
      <c r="AH8" s="38">
        <v>2</v>
      </c>
      <c r="AI8" s="38">
        <v>3</v>
      </c>
      <c r="AJ8" s="38">
        <v>4</v>
      </c>
      <c r="AK8" s="38">
        <v>5</v>
      </c>
      <c r="AL8" s="38">
        <v>6</v>
      </c>
      <c r="AM8" s="38">
        <v>7</v>
      </c>
      <c r="AN8" s="37"/>
      <c r="AO8" s="37"/>
      <c r="AP8" s="37"/>
    </row>
    <row r="9" spans="3:43" ht="45" customHeight="1">
      <c r="C9" s="242"/>
      <c r="D9" s="48">
        <v>8</v>
      </c>
      <c r="E9" s="50">
        <v>3</v>
      </c>
      <c r="G9" s="37"/>
      <c r="H9" s="38">
        <v>8</v>
      </c>
      <c r="I9" s="38">
        <v>9</v>
      </c>
      <c r="J9" s="42">
        <v>10</v>
      </c>
      <c r="K9" s="56">
        <v>3.8016985390000002</v>
      </c>
      <c r="L9" s="56"/>
      <c r="M9" s="56"/>
      <c r="N9" s="56"/>
      <c r="O9" s="56">
        <v>4.5594943580000002</v>
      </c>
      <c r="P9" s="56"/>
      <c r="Q9" s="56"/>
      <c r="R9" s="56"/>
      <c r="Z9" s="242"/>
      <c r="AA9" s="48">
        <v>8</v>
      </c>
      <c r="AB9" s="50">
        <v>3</v>
      </c>
      <c r="AD9" s="37"/>
      <c r="AE9" s="38">
        <v>8</v>
      </c>
      <c r="AF9" s="38">
        <v>9</v>
      </c>
      <c r="AG9" s="42">
        <v>10</v>
      </c>
      <c r="AH9" s="42">
        <v>11</v>
      </c>
      <c r="AI9" s="42">
        <v>12</v>
      </c>
      <c r="AJ9" s="42">
        <v>13</v>
      </c>
      <c r="AK9" s="42">
        <v>14</v>
      </c>
      <c r="AL9" s="42">
        <v>15</v>
      </c>
      <c r="AM9" s="42">
        <v>16</v>
      </c>
      <c r="AN9" s="42">
        <v>17</v>
      </c>
      <c r="AO9" s="42">
        <v>18</v>
      </c>
      <c r="AP9" s="41"/>
    </row>
    <row r="10" spans="3:43" ht="45" customHeight="1">
      <c r="C10" s="242"/>
      <c r="D10" s="48">
        <v>7</v>
      </c>
      <c r="E10" s="50">
        <v>2</v>
      </c>
      <c r="G10" s="38">
        <v>19</v>
      </c>
      <c r="H10" s="38">
        <v>20</v>
      </c>
      <c r="I10" s="38">
        <v>21</v>
      </c>
      <c r="J10" s="42">
        <v>22</v>
      </c>
      <c r="K10" s="56"/>
      <c r="L10" s="56"/>
      <c r="M10" s="56"/>
      <c r="N10" s="56"/>
      <c r="O10" s="56"/>
      <c r="P10" s="56"/>
      <c r="Q10" s="56"/>
      <c r="R10" s="56"/>
      <c r="S10" s="56"/>
      <c r="Z10" s="242"/>
      <c r="AA10" s="48">
        <v>7</v>
      </c>
      <c r="AB10" s="50">
        <v>2</v>
      </c>
      <c r="AD10" s="38">
        <v>19</v>
      </c>
      <c r="AE10" s="38">
        <v>20</v>
      </c>
      <c r="AF10" s="38">
        <v>21</v>
      </c>
      <c r="AG10" s="42">
        <v>22</v>
      </c>
      <c r="AH10" s="42">
        <v>23</v>
      </c>
      <c r="AI10" s="42">
        <v>24</v>
      </c>
      <c r="AJ10" s="42">
        <v>25</v>
      </c>
      <c r="AK10" s="42">
        <v>26</v>
      </c>
      <c r="AL10" s="42">
        <v>27</v>
      </c>
      <c r="AM10" s="42">
        <v>28</v>
      </c>
      <c r="AN10" s="42">
        <v>29</v>
      </c>
      <c r="AO10" s="42">
        <v>30</v>
      </c>
      <c r="AP10" s="42">
        <v>31</v>
      </c>
    </row>
    <row r="11" spans="3:43" ht="45" customHeight="1">
      <c r="C11" s="242"/>
      <c r="D11" s="48">
        <v>6</v>
      </c>
      <c r="E11" s="50">
        <v>1</v>
      </c>
      <c r="G11" s="38">
        <v>32</v>
      </c>
      <c r="H11" s="38">
        <v>33</v>
      </c>
      <c r="I11" s="38">
        <v>34</v>
      </c>
      <c r="J11" s="42">
        <v>35</v>
      </c>
      <c r="K11" s="56">
        <v>3.9804322679999999</v>
      </c>
      <c r="L11" s="56"/>
      <c r="M11" s="56">
        <v>4.9293884849999996</v>
      </c>
      <c r="N11" s="56"/>
      <c r="O11" s="56"/>
      <c r="P11" s="56"/>
      <c r="Q11" s="56"/>
      <c r="R11" s="56"/>
      <c r="S11" s="56">
        <v>4.7918199350000004</v>
      </c>
      <c r="Z11" s="242"/>
      <c r="AA11" s="48">
        <v>6</v>
      </c>
      <c r="AB11" s="50">
        <v>1</v>
      </c>
      <c r="AD11" s="38">
        <v>32</v>
      </c>
      <c r="AE11" s="38">
        <v>33</v>
      </c>
      <c r="AF11" s="38">
        <v>34</v>
      </c>
      <c r="AG11" s="42">
        <v>35</v>
      </c>
      <c r="AH11" s="42">
        <v>36</v>
      </c>
      <c r="AI11" s="42">
        <v>37</v>
      </c>
      <c r="AJ11" s="42">
        <v>38</v>
      </c>
      <c r="AK11" s="42">
        <v>39</v>
      </c>
      <c r="AL11" s="42">
        <v>40</v>
      </c>
      <c r="AM11" s="42">
        <v>41</v>
      </c>
      <c r="AN11" s="42">
        <v>42</v>
      </c>
      <c r="AO11" s="42">
        <v>43</v>
      </c>
      <c r="AP11" s="42">
        <v>44</v>
      </c>
    </row>
    <row r="12" spans="3:43" ht="45" customHeight="1">
      <c r="C12" s="242"/>
      <c r="D12" s="48">
        <v>5</v>
      </c>
      <c r="E12" s="50">
        <v>0</v>
      </c>
      <c r="G12" s="38">
        <v>45</v>
      </c>
      <c r="H12" s="38">
        <v>46</v>
      </c>
      <c r="I12" s="38">
        <v>47</v>
      </c>
      <c r="J12" s="42">
        <v>48</v>
      </c>
      <c r="K12" s="56"/>
      <c r="L12" s="56"/>
      <c r="M12" s="56"/>
      <c r="N12" s="56"/>
      <c r="O12" s="56"/>
      <c r="P12" s="56"/>
      <c r="Q12" s="56"/>
      <c r="R12" s="56"/>
      <c r="S12" s="56"/>
      <c r="Z12" s="242"/>
      <c r="AA12" s="48">
        <v>5</v>
      </c>
      <c r="AB12" s="50">
        <v>0</v>
      </c>
      <c r="AD12" s="38">
        <v>45</v>
      </c>
      <c r="AE12" s="38">
        <v>46</v>
      </c>
      <c r="AF12" s="38">
        <v>47</v>
      </c>
      <c r="AG12" s="42">
        <v>48</v>
      </c>
      <c r="AH12" s="42">
        <v>49</v>
      </c>
      <c r="AI12" s="42">
        <v>50</v>
      </c>
      <c r="AJ12" s="42">
        <v>51</v>
      </c>
      <c r="AK12" s="42">
        <v>52</v>
      </c>
      <c r="AL12" s="42">
        <v>53</v>
      </c>
      <c r="AM12" s="42">
        <v>54</v>
      </c>
      <c r="AN12" s="42">
        <v>55</v>
      </c>
      <c r="AO12" s="42">
        <v>56</v>
      </c>
      <c r="AP12" s="42">
        <v>57</v>
      </c>
    </row>
    <row r="13" spans="3:43" ht="45" customHeight="1">
      <c r="C13" s="242"/>
      <c r="D13" s="48">
        <v>4</v>
      </c>
      <c r="E13" s="50">
        <v>-1</v>
      </c>
      <c r="G13" s="38">
        <v>58</v>
      </c>
      <c r="H13" s="38">
        <v>59</v>
      </c>
      <c r="I13" s="38">
        <v>60</v>
      </c>
      <c r="J13" s="42">
        <v>61</v>
      </c>
      <c r="K13" s="56">
        <v>4.6096069079999999</v>
      </c>
      <c r="L13" s="56"/>
      <c r="M13" s="56"/>
      <c r="N13" s="56"/>
      <c r="O13" s="56"/>
      <c r="P13" s="56"/>
      <c r="Q13" s="56"/>
      <c r="R13" s="56"/>
      <c r="S13" s="56"/>
      <c r="Z13" s="242"/>
      <c r="AA13" s="48">
        <v>4</v>
      </c>
      <c r="AB13" s="50">
        <v>-1</v>
      </c>
      <c r="AD13" s="38">
        <v>58</v>
      </c>
      <c r="AE13" s="38">
        <v>59</v>
      </c>
      <c r="AF13" s="38">
        <v>60</v>
      </c>
      <c r="AG13" s="42">
        <v>61</v>
      </c>
      <c r="AH13" s="42">
        <v>62</v>
      </c>
      <c r="AI13" s="42">
        <v>63</v>
      </c>
      <c r="AJ13" s="42">
        <v>64</v>
      </c>
      <c r="AK13" s="42">
        <v>65</v>
      </c>
      <c r="AL13" s="42">
        <v>66</v>
      </c>
      <c r="AM13" s="42">
        <v>67</v>
      </c>
      <c r="AN13" s="42">
        <v>68</v>
      </c>
      <c r="AO13" s="42">
        <v>69</v>
      </c>
      <c r="AP13" s="42">
        <v>70</v>
      </c>
    </row>
    <row r="14" spans="3:43" ht="45" customHeight="1">
      <c r="C14" s="242"/>
      <c r="D14" s="48">
        <v>3</v>
      </c>
      <c r="E14" s="50">
        <v>-2</v>
      </c>
      <c r="G14" s="38">
        <v>71</v>
      </c>
      <c r="H14" s="38">
        <v>72</v>
      </c>
      <c r="I14" s="38">
        <v>73</v>
      </c>
      <c r="J14" s="42">
        <v>74</v>
      </c>
      <c r="K14" s="56"/>
      <c r="L14" s="56"/>
      <c r="M14" s="56"/>
      <c r="N14" s="56"/>
      <c r="O14" s="56"/>
      <c r="P14" s="56"/>
      <c r="Q14" s="56"/>
      <c r="R14" s="56"/>
      <c r="S14" s="56"/>
      <c r="Z14" s="242"/>
      <c r="AA14" s="48">
        <v>3</v>
      </c>
      <c r="AB14" s="50">
        <v>-2</v>
      </c>
      <c r="AD14" s="38">
        <v>71</v>
      </c>
      <c r="AE14" s="38">
        <v>72</v>
      </c>
      <c r="AF14" s="38">
        <v>73</v>
      </c>
      <c r="AG14" s="42">
        <v>74</v>
      </c>
      <c r="AH14" s="42">
        <v>75</v>
      </c>
      <c r="AI14" s="42">
        <v>76</v>
      </c>
      <c r="AJ14" s="42">
        <v>77</v>
      </c>
      <c r="AK14" s="42">
        <v>78</v>
      </c>
      <c r="AL14" s="42">
        <v>79</v>
      </c>
      <c r="AM14" s="42">
        <v>80</v>
      </c>
      <c r="AN14" s="42">
        <v>81</v>
      </c>
      <c r="AO14" s="42">
        <v>82</v>
      </c>
      <c r="AP14" s="42">
        <v>83</v>
      </c>
    </row>
    <row r="15" spans="3:43" ht="45" customHeight="1">
      <c r="C15" s="242"/>
      <c r="D15" s="48">
        <v>2</v>
      </c>
      <c r="E15" s="50">
        <v>-3</v>
      </c>
      <c r="G15" s="37"/>
      <c r="H15" s="38">
        <v>84</v>
      </c>
      <c r="I15" s="38">
        <v>85</v>
      </c>
      <c r="J15" s="42">
        <v>86</v>
      </c>
      <c r="K15" s="56"/>
      <c r="L15" s="56"/>
      <c r="M15" s="56"/>
      <c r="N15" s="56"/>
      <c r="O15" s="56">
        <v>4.050785952</v>
      </c>
      <c r="P15" s="56"/>
      <c r="Q15" s="56"/>
      <c r="R15" s="56"/>
      <c r="Z15" s="242"/>
      <c r="AA15" s="48">
        <v>2</v>
      </c>
      <c r="AB15" s="50">
        <v>-3</v>
      </c>
      <c r="AD15" s="37"/>
      <c r="AE15" s="38">
        <v>84</v>
      </c>
      <c r="AF15" s="38">
        <v>85</v>
      </c>
      <c r="AG15" s="42">
        <v>86</v>
      </c>
      <c r="AH15" s="42">
        <v>87</v>
      </c>
      <c r="AI15" s="42">
        <v>88</v>
      </c>
      <c r="AJ15" s="42">
        <v>89</v>
      </c>
      <c r="AK15" s="42">
        <v>90</v>
      </c>
      <c r="AL15" s="42">
        <v>91</v>
      </c>
      <c r="AM15" s="42">
        <v>92</v>
      </c>
      <c r="AN15" s="42">
        <v>93</v>
      </c>
      <c r="AO15" s="42">
        <v>94</v>
      </c>
      <c r="AP15" s="41"/>
    </row>
    <row r="16" spans="3:43" ht="45" customHeight="1">
      <c r="C16" s="242"/>
      <c r="D16" s="48">
        <v>1</v>
      </c>
      <c r="E16" s="50">
        <v>-4</v>
      </c>
      <c r="G16" s="37"/>
      <c r="H16" s="37"/>
      <c r="I16" s="37"/>
      <c r="J16" s="38">
        <v>95</v>
      </c>
      <c r="K16" s="55">
        <v>96</v>
      </c>
      <c r="L16" s="55">
        <v>97</v>
      </c>
      <c r="M16" s="55">
        <v>98</v>
      </c>
      <c r="N16" s="55">
        <v>99</v>
      </c>
      <c r="O16" s="55">
        <v>100</v>
      </c>
      <c r="P16" s="55">
        <v>101</v>
      </c>
      <c r="Q16" s="37"/>
      <c r="R16" s="37"/>
      <c r="S16" s="37"/>
      <c r="Z16" s="242"/>
      <c r="AA16" s="48">
        <v>1</v>
      </c>
      <c r="AB16" s="50">
        <v>-4</v>
      </c>
      <c r="AD16" s="37"/>
      <c r="AE16" s="37"/>
      <c r="AF16" s="37"/>
      <c r="AG16" s="38">
        <v>95</v>
      </c>
      <c r="AH16" s="38">
        <v>96</v>
      </c>
      <c r="AI16" s="38">
        <v>97</v>
      </c>
      <c r="AJ16" s="38">
        <v>98</v>
      </c>
      <c r="AK16" s="38">
        <v>99</v>
      </c>
      <c r="AL16" s="38">
        <v>100</v>
      </c>
      <c r="AM16" s="38">
        <v>101</v>
      </c>
      <c r="AN16" s="37"/>
      <c r="AO16" s="37"/>
      <c r="AP16" s="37"/>
    </row>
    <row r="17" spans="3:28" ht="45" customHeight="1">
      <c r="C17" s="242"/>
      <c r="D17" s="48">
        <v>0</v>
      </c>
      <c r="E17" s="50">
        <v>-5</v>
      </c>
      <c r="Z17" s="242"/>
      <c r="AA17" s="48">
        <v>0</v>
      </c>
      <c r="AB17" s="50">
        <v>-5</v>
      </c>
    </row>
  </sheetData>
  <mergeCells count="6">
    <mergeCell ref="F3:T3"/>
    <mergeCell ref="F4:T4"/>
    <mergeCell ref="C7:C17"/>
    <mergeCell ref="AC3:AQ3"/>
    <mergeCell ref="AC4:AQ4"/>
    <mergeCell ref="Z7:Z1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A6D8-CCC1-4BBB-9558-3BB319ACAC72}">
  <dimension ref="C3:AC17"/>
  <sheetViews>
    <sheetView topLeftCell="A4" zoomScale="70" zoomScaleNormal="70" workbookViewId="0">
      <selection activeCell="C4" sqref="C4:T17"/>
    </sheetView>
    <sheetView workbookViewId="1"/>
  </sheetViews>
  <sheetFormatPr defaultColWidth="6.7109375" defaultRowHeight="45" customHeight="1"/>
  <sheetData>
    <row r="3" spans="3:29" ht="45" customHeight="1">
      <c r="F3" s="240" t="s">
        <v>54</v>
      </c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</row>
    <row r="4" spans="3:29" ht="45" customHeight="1">
      <c r="F4" s="241" t="s">
        <v>59</v>
      </c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</row>
    <row r="5" spans="3:29" ht="45" customHeight="1">
      <c r="F5" s="48">
        <v>0</v>
      </c>
      <c r="G5" s="48">
        <v>1</v>
      </c>
      <c r="H5" s="48">
        <v>2</v>
      </c>
      <c r="I5" s="48">
        <v>3</v>
      </c>
      <c r="J5" s="48">
        <v>4</v>
      </c>
      <c r="K5" s="48">
        <v>5</v>
      </c>
      <c r="L5" s="48">
        <v>6</v>
      </c>
      <c r="M5" s="48">
        <v>7</v>
      </c>
      <c r="N5" s="48">
        <v>8</v>
      </c>
      <c r="O5" s="48">
        <v>9</v>
      </c>
      <c r="P5" s="48">
        <v>10</v>
      </c>
      <c r="Q5" s="48">
        <v>11</v>
      </c>
      <c r="R5" s="48">
        <v>12</v>
      </c>
      <c r="S5" s="48">
        <v>13</v>
      </c>
      <c r="T5" s="48">
        <v>14</v>
      </c>
      <c r="AB5" s="43" t="s">
        <v>76</v>
      </c>
      <c r="AC5" s="43">
        <v>9</v>
      </c>
    </row>
    <row r="6" spans="3:29" ht="45" customHeight="1">
      <c r="F6" s="49">
        <v>-7</v>
      </c>
      <c r="G6" s="49">
        <v>-6</v>
      </c>
      <c r="H6" s="49">
        <v>-5</v>
      </c>
      <c r="I6" s="49">
        <v>-4</v>
      </c>
      <c r="J6" s="49">
        <v>-3</v>
      </c>
      <c r="K6" s="49">
        <v>-2</v>
      </c>
      <c r="L6" s="49">
        <v>-1</v>
      </c>
      <c r="M6" s="49">
        <v>0</v>
      </c>
      <c r="N6" s="49">
        <v>1</v>
      </c>
      <c r="O6" s="49">
        <v>2</v>
      </c>
      <c r="P6" s="49">
        <v>3</v>
      </c>
      <c r="Q6" s="49">
        <v>4</v>
      </c>
      <c r="R6" s="49">
        <v>5</v>
      </c>
      <c r="S6" s="49">
        <v>6</v>
      </c>
      <c r="T6" s="49">
        <v>7</v>
      </c>
      <c r="AB6" s="43" t="s">
        <v>77</v>
      </c>
      <c r="AC6" s="43">
        <v>13</v>
      </c>
    </row>
    <row r="7" spans="3:29" ht="45" customHeight="1">
      <c r="C7" s="242" t="s">
        <v>60</v>
      </c>
      <c r="D7" s="48">
        <v>10</v>
      </c>
      <c r="E7" s="50">
        <v>5</v>
      </c>
    </row>
    <row r="8" spans="3:29" ht="45" customHeight="1">
      <c r="C8" s="242"/>
      <c r="D8" s="48">
        <v>9</v>
      </c>
      <c r="E8" s="50">
        <v>4</v>
      </c>
      <c r="G8" s="37"/>
      <c r="H8" s="37"/>
      <c r="I8" s="37"/>
      <c r="J8" s="38">
        <v>1</v>
      </c>
      <c r="K8" s="38">
        <v>2</v>
      </c>
      <c r="L8" s="38">
        <v>3</v>
      </c>
      <c r="M8" s="38">
        <v>4</v>
      </c>
      <c r="N8" s="38">
        <v>5</v>
      </c>
      <c r="O8" s="38">
        <v>6</v>
      </c>
      <c r="P8" s="38">
        <v>7</v>
      </c>
      <c r="Q8" s="37"/>
      <c r="R8" s="37"/>
      <c r="S8" s="37"/>
    </row>
    <row r="9" spans="3:29" ht="45" customHeight="1">
      <c r="C9" s="242"/>
      <c r="D9" s="48">
        <v>8</v>
      </c>
      <c r="E9" s="50">
        <v>3</v>
      </c>
      <c r="G9" s="37"/>
      <c r="H9" s="38">
        <v>8</v>
      </c>
      <c r="I9" s="38">
        <v>9</v>
      </c>
      <c r="J9" s="38">
        <v>10</v>
      </c>
      <c r="K9" s="47">
        <v>11</v>
      </c>
      <c r="L9" s="38">
        <v>12</v>
      </c>
      <c r="M9" s="38">
        <v>13</v>
      </c>
      <c r="N9" s="38">
        <v>14</v>
      </c>
      <c r="O9" s="47">
        <v>15</v>
      </c>
      <c r="P9" s="38">
        <v>16</v>
      </c>
      <c r="Q9" s="38">
        <v>17</v>
      </c>
      <c r="R9" s="38">
        <v>18</v>
      </c>
      <c r="S9" s="51"/>
    </row>
    <row r="10" spans="3:29" ht="45" customHeight="1">
      <c r="C10" s="242"/>
      <c r="D10" s="48">
        <v>7</v>
      </c>
      <c r="E10" s="50">
        <v>2</v>
      </c>
      <c r="G10" s="38">
        <v>19</v>
      </c>
      <c r="H10" s="38">
        <v>20</v>
      </c>
      <c r="I10" s="38">
        <v>21</v>
      </c>
      <c r="J10" s="38">
        <v>22</v>
      </c>
      <c r="K10" s="38">
        <v>23</v>
      </c>
      <c r="L10" s="38">
        <v>24</v>
      </c>
      <c r="M10" s="38">
        <v>25</v>
      </c>
      <c r="N10" s="38">
        <v>26</v>
      </c>
      <c r="O10" s="38">
        <v>27</v>
      </c>
      <c r="P10" s="38">
        <v>28</v>
      </c>
      <c r="Q10" s="38">
        <v>29</v>
      </c>
      <c r="R10" s="38">
        <v>30</v>
      </c>
      <c r="S10" s="38">
        <v>31</v>
      </c>
    </row>
    <row r="11" spans="3:29" ht="45" customHeight="1">
      <c r="C11" s="242"/>
      <c r="D11" s="48">
        <v>6</v>
      </c>
      <c r="E11" s="50">
        <v>1</v>
      </c>
      <c r="G11" s="38">
        <v>32</v>
      </c>
      <c r="H11" s="38">
        <v>33</v>
      </c>
      <c r="I11" s="38">
        <v>34</v>
      </c>
      <c r="J11" s="38">
        <v>35</v>
      </c>
      <c r="K11" s="47">
        <v>36</v>
      </c>
      <c r="L11" s="38">
        <v>37</v>
      </c>
      <c r="M11" s="47">
        <v>38</v>
      </c>
      <c r="N11" s="38">
        <v>39</v>
      </c>
      <c r="O11" s="47">
        <v>40</v>
      </c>
      <c r="P11" s="38">
        <v>41</v>
      </c>
      <c r="Q11" s="38">
        <v>42</v>
      </c>
      <c r="R11" s="38">
        <v>43</v>
      </c>
      <c r="S11" s="47">
        <v>44</v>
      </c>
    </row>
    <row r="12" spans="3:29" ht="45" customHeight="1">
      <c r="C12" s="242"/>
      <c r="D12" s="48">
        <v>5</v>
      </c>
      <c r="E12" s="50">
        <v>0</v>
      </c>
      <c r="G12" s="38">
        <v>45</v>
      </c>
      <c r="H12" s="38">
        <v>46</v>
      </c>
      <c r="I12" s="38">
        <v>47</v>
      </c>
      <c r="J12" s="38">
        <v>48</v>
      </c>
      <c r="K12" s="38">
        <v>49</v>
      </c>
      <c r="L12" s="38">
        <v>50</v>
      </c>
      <c r="M12" s="38">
        <v>51</v>
      </c>
      <c r="N12" s="38">
        <v>52</v>
      </c>
      <c r="O12" s="38">
        <v>53</v>
      </c>
      <c r="P12" s="38">
        <v>54</v>
      </c>
      <c r="Q12" s="38">
        <v>55</v>
      </c>
      <c r="R12" s="38">
        <v>56</v>
      </c>
      <c r="S12" s="38">
        <v>57</v>
      </c>
    </row>
    <row r="13" spans="3:29" ht="45" customHeight="1">
      <c r="C13" s="242"/>
      <c r="D13" s="48">
        <v>4</v>
      </c>
      <c r="E13" s="50">
        <v>-1</v>
      </c>
      <c r="G13" s="38">
        <v>58</v>
      </c>
      <c r="H13" s="38">
        <v>59</v>
      </c>
      <c r="I13" s="38">
        <v>60</v>
      </c>
      <c r="J13" s="38">
        <v>61</v>
      </c>
      <c r="K13" s="47">
        <v>62</v>
      </c>
      <c r="L13" s="38">
        <v>63</v>
      </c>
      <c r="M13" s="38">
        <v>64</v>
      </c>
      <c r="N13" s="38">
        <v>65</v>
      </c>
      <c r="O13" s="47">
        <v>66</v>
      </c>
      <c r="P13" s="38">
        <v>67</v>
      </c>
      <c r="Q13" s="47">
        <v>68</v>
      </c>
      <c r="R13" s="38">
        <v>69</v>
      </c>
      <c r="S13" s="47">
        <v>70</v>
      </c>
    </row>
    <row r="14" spans="3:29" ht="45" customHeight="1">
      <c r="C14" s="242"/>
      <c r="D14" s="48">
        <v>3</v>
      </c>
      <c r="E14" s="50">
        <v>-2</v>
      </c>
      <c r="G14" s="38">
        <v>71</v>
      </c>
      <c r="H14" s="38">
        <v>72</v>
      </c>
      <c r="I14" s="38">
        <v>73</v>
      </c>
      <c r="J14" s="38">
        <v>74</v>
      </c>
      <c r="K14" s="38">
        <v>75</v>
      </c>
      <c r="L14" s="38">
        <v>76</v>
      </c>
      <c r="M14" s="38">
        <v>77</v>
      </c>
      <c r="N14" s="38">
        <v>78</v>
      </c>
      <c r="O14" s="38">
        <v>79</v>
      </c>
      <c r="P14" s="38">
        <v>80</v>
      </c>
      <c r="Q14" s="38">
        <v>81</v>
      </c>
      <c r="R14" s="38">
        <v>82</v>
      </c>
      <c r="S14" s="38">
        <v>83</v>
      </c>
    </row>
    <row r="15" spans="3:29" ht="45" customHeight="1">
      <c r="C15" s="242"/>
      <c r="D15" s="48">
        <v>2</v>
      </c>
      <c r="E15" s="50">
        <v>-3</v>
      </c>
      <c r="G15" s="37"/>
      <c r="H15" s="38">
        <v>84</v>
      </c>
      <c r="I15" s="38">
        <v>85</v>
      </c>
      <c r="J15" s="38">
        <v>86</v>
      </c>
      <c r="K15" s="47">
        <v>87</v>
      </c>
      <c r="L15" s="38">
        <v>88</v>
      </c>
      <c r="M15" s="38">
        <v>89</v>
      </c>
      <c r="N15" s="38">
        <v>90</v>
      </c>
      <c r="O15" s="47">
        <v>91</v>
      </c>
      <c r="P15" s="38">
        <v>92</v>
      </c>
      <c r="Q15" s="38">
        <v>93</v>
      </c>
      <c r="R15" s="38">
        <v>94</v>
      </c>
      <c r="S15" s="51"/>
    </row>
    <row r="16" spans="3:29" ht="45" customHeight="1">
      <c r="C16" s="242"/>
      <c r="D16" s="48">
        <v>1</v>
      </c>
      <c r="E16" s="50">
        <v>-4</v>
      </c>
      <c r="G16" s="37"/>
      <c r="H16" s="37"/>
      <c r="I16" s="37"/>
      <c r="J16" s="38">
        <v>95</v>
      </c>
      <c r="K16" s="38">
        <v>96</v>
      </c>
      <c r="L16" s="38">
        <v>97</v>
      </c>
      <c r="M16" s="38">
        <v>98</v>
      </c>
      <c r="N16" s="38">
        <v>99</v>
      </c>
      <c r="O16" s="38">
        <v>100</v>
      </c>
      <c r="P16" s="38">
        <v>101</v>
      </c>
      <c r="Q16" s="37"/>
      <c r="R16" s="37"/>
      <c r="S16" s="37"/>
    </row>
    <row r="17" spans="3:5" ht="45" customHeight="1">
      <c r="C17" s="242"/>
      <c r="D17" s="48">
        <v>0</v>
      </c>
      <c r="E17" s="50">
        <v>-5</v>
      </c>
    </row>
  </sheetData>
  <mergeCells count="3">
    <mergeCell ref="F3:T3"/>
    <mergeCell ref="F4:T4"/>
    <mergeCell ref="C7:C1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E5F-DEF9-4A3C-BB12-63457FC1D921}">
  <dimension ref="B3:Q26"/>
  <sheetViews>
    <sheetView topLeftCell="C1" workbookViewId="0">
      <selection activeCell="K29" sqref="K29"/>
    </sheetView>
    <sheetView workbookViewId="1"/>
  </sheetViews>
  <sheetFormatPr defaultRowHeight="15"/>
  <sheetData>
    <row r="3" spans="2:17">
      <c r="B3" s="3">
        <v>8</v>
      </c>
      <c r="C3" s="5">
        <v>3.8016985390000002</v>
      </c>
      <c r="D3" s="5">
        <v>6.5715203E-2</v>
      </c>
      <c r="G3" s="14">
        <v>1</v>
      </c>
      <c r="H3" s="52">
        <v>4.7761622863905213</v>
      </c>
      <c r="I3" s="52">
        <v>2.444326154673945</v>
      </c>
      <c r="K3" s="3">
        <v>10</v>
      </c>
      <c r="L3" s="5">
        <v>3.0386560579999999</v>
      </c>
      <c r="M3" s="5">
        <v>2.9479292000000001E-2</v>
      </c>
      <c r="O3">
        <v>10</v>
      </c>
      <c r="P3">
        <v>3.56</v>
      </c>
      <c r="Q3">
        <v>0.03</v>
      </c>
    </row>
    <row r="4" spans="2:17">
      <c r="B4" s="3">
        <v>12</v>
      </c>
      <c r="C4" s="5">
        <v>4.5594943580000002</v>
      </c>
      <c r="D4" s="5">
        <v>8.2247903999999997E-2</v>
      </c>
      <c r="G4" s="14">
        <v>33</v>
      </c>
      <c r="H4" s="52">
        <v>4.9059561153155986</v>
      </c>
      <c r="I4" s="52">
        <v>4.575777719674079E-2</v>
      </c>
      <c r="K4" s="3">
        <v>24</v>
      </c>
      <c r="L4" s="5">
        <v>7.5788103519999996</v>
      </c>
      <c r="M4" s="5">
        <v>0.28597486700000002</v>
      </c>
      <c r="O4">
        <v>24</v>
      </c>
      <c r="P4">
        <v>7.02</v>
      </c>
      <c r="Q4">
        <v>0.13</v>
      </c>
    </row>
    <row r="5" spans="2:17">
      <c r="B5" s="3">
        <v>16</v>
      </c>
      <c r="C5" s="5">
        <v>10.707618419999999</v>
      </c>
      <c r="D5" s="5">
        <v>35.209952770000001</v>
      </c>
      <c r="G5" s="14">
        <v>35</v>
      </c>
      <c r="H5" s="52">
        <v>5.0255103214567178</v>
      </c>
      <c r="I5" s="52">
        <v>2.887958752535269E-2</v>
      </c>
      <c r="K5" s="3">
        <v>36</v>
      </c>
      <c r="L5" s="5">
        <v>8.5278176650000006</v>
      </c>
      <c r="M5" s="5">
        <v>0.72200392800000002</v>
      </c>
      <c r="O5">
        <v>36</v>
      </c>
      <c r="P5">
        <v>9.83</v>
      </c>
      <c r="Q5">
        <v>1</v>
      </c>
    </row>
    <row r="6" spans="2:17">
      <c r="B6" s="3">
        <v>33</v>
      </c>
      <c r="C6" s="5">
        <v>3.9804322679999999</v>
      </c>
      <c r="D6" s="5">
        <v>2.8292244000000001E-2</v>
      </c>
      <c r="G6" s="14">
        <v>37</v>
      </c>
      <c r="H6" s="52">
        <v>5.6724267375450532</v>
      </c>
      <c r="I6" s="52">
        <v>1.3169828313948528E-2</v>
      </c>
      <c r="K6" s="3">
        <v>39</v>
      </c>
      <c r="L6" s="5">
        <v>6.8878791560000003</v>
      </c>
      <c r="M6" s="5">
        <v>2.2577854000000001E-2</v>
      </c>
      <c r="O6">
        <v>39</v>
      </c>
      <c r="P6">
        <v>6.64</v>
      </c>
      <c r="Q6">
        <v>0.21</v>
      </c>
    </row>
    <row r="7" spans="2:17">
      <c r="B7" s="3">
        <v>35</v>
      </c>
      <c r="C7" s="5">
        <v>4.9293884849999996</v>
      </c>
      <c r="D7" s="5">
        <v>3.4349449999999997E-2</v>
      </c>
      <c r="G7" s="14">
        <v>47</v>
      </c>
      <c r="H7" s="52">
        <v>5.0594240734837292</v>
      </c>
      <c r="I7" s="52">
        <v>2.6731825350452709E-2</v>
      </c>
      <c r="K7" s="3">
        <v>48</v>
      </c>
      <c r="L7" s="5">
        <v>4.9315566400000002</v>
      </c>
      <c r="M7" s="5">
        <v>1.6351369000000001E-2</v>
      </c>
      <c r="O7">
        <v>45</v>
      </c>
      <c r="P7">
        <v>3.13</v>
      </c>
      <c r="Q7">
        <v>0.02</v>
      </c>
    </row>
    <row r="8" spans="2:17">
      <c r="B8" s="3">
        <v>37</v>
      </c>
      <c r="C8" s="5">
        <v>12.8553909</v>
      </c>
      <c r="D8" s="5">
        <v>117.3037983</v>
      </c>
      <c r="G8" s="14">
        <v>54</v>
      </c>
      <c r="H8" s="52">
        <v>4.5212135921007519</v>
      </c>
      <c r="I8" s="52">
        <v>7.8438195787384757E-3</v>
      </c>
      <c r="K8" s="3">
        <v>51</v>
      </c>
      <c r="L8" s="5">
        <v>6.2792691490000001</v>
      </c>
      <c r="M8" s="5">
        <v>1.6077686000000001E-2</v>
      </c>
      <c r="O8">
        <v>48</v>
      </c>
      <c r="P8">
        <v>5.98</v>
      </c>
      <c r="Q8">
        <v>0.02</v>
      </c>
    </row>
    <row r="9" spans="2:17">
      <c r="B9" s="3">
        <v>41</v>
      </c>
      <c r="C9" s="5">
        <v>4.7918199350000004</v>
      </c>
      <c r="D9" s="5">
        <v>1.8803199E-2</v>
      </c>
      <c r="G9" s="14">
        <v>58</v>
      </c>
      <c r="H9" s="52">
        <v>4.9321930232132321</v>
      </c>
      <c r="I9" s="52">
        <v>2.6034511499346991E-2</v>
      </c>
      <c r="K9" s="3">
        <v>54</v>
      </c>
      <c r="L9" s="5">
        <v>3.4768161219999998</v>
      </c>
      <c r="M9" s="5">
        <v>6.0001730000000001E-3</v>
      </c>
      <c r="O9">
        <v>51</v>
      </c>
      <c r="P9">
        <v>7.2</v>
      </c>
      <c r="Q9">
        <v>0.19</v>
      </c>
    </row>
    <row r="10" spans="2:17">
      <c r="B10" s="3">
        <v>59</v>
      </c>
      <c r="C10" s="5">
        <v>4.6096069079999999</v>
      </c>
      <c r="D10" s="5">
        <v>5.4239010999999997E-2</v>
      </c>
      <c r="G10" s="14">
        <v>76</v>
      </c>
      <c r="H10" s="52">
        <v>5.144772327798993</v>
      </c>
      <c r="I10" s="52">
        <v>1.8529103892433341E-2</v>
      </c>
      <c r="K10" s="3">
        <v>63</v>
      </c>
      <c r="L10" s="5">
        <v>5.2923086369999996</v>
      </c>
      <c r="M10" s="5">
        <v>7.2220966999999997E-2</v>
      </c>
      <c r="O10">
        <v>54</v>
      </c>
      <c r="P10">
        <v>5.97</v>
      </c>
      <c r="Q10">
        <v>0.06</v>
      </c>
    </row>
    <row r="11" spans="2:17">
      <c r="B11" s="3">
        <v>63</v>
      </c>
      <c r="C11" s="5">
        <v>13.828745939999999</v>
      </c>
      <c r="D11" s="5">
        <v>66.234408369999997</v>
      </c>
      <c r="G11" s="14">
        <v>89</v>
      </c>
      <c r="H11" s="52">
        <v>4.4133391833875422</v>
      </c>
      <c r="I11" s="52">
        <v>1.5171549496244552E-2</v>
      </c>
      <c r="K11" s="3">
        <v>72</v>
      </c>
      <c r="L11" s="5">
        <v>3.8239437550000002</v>
      </c>
      <c r="M11" s="5">
        <v>5.6732105999999997E-2</v>
      </c>
      <c r="O11">
        <v>63</v>
      </c>
      <c r="P11">
        <v>6.99</v>
      </c>
      <c r="Q11">
        <v>0.08</v>
      </c>
    </row>
    <row r="12" spans="2:17">
      <c r="B12" s="4">
        <v>65</v>
      </c>
      <c r="C12" s="15">
        <v>9.3619678020000006</v>
      </c>
      <c r="D12" s="15">
        <v>84.875877500000001</v>
      </c>
      <c r="G12" s="14">
        <v>95</v>
      </c>
      <c r="H12" s="52">
        <v>11.423870980412243</v>
      </c>
      <c r="I12" s="52">
        <v>98.214408941648799</v>
      </c>
      <c r="K12" s="4">
        <v>78</v>
      </c>
      <c r="L12" s="15">
        <v>4.0410066740000001</v>
      </c>
      <c r="M12" s="15">
        <v>1.4557970999999999E-2</v>
      </c>
      <c r="O12">
        <v>72</v>
      </c>
      <c r="P12">
        <v>4.28</v>
      </c>
      <c r="Q12">
        <v>0.01</v>
      </c>
    </row>
    <row r="13" spans="2:17">
      <c r="B13" s="4">
        <v>67</v>
      </c>
      <c r="C13" s="15">
        <v>11.39991143</v>
      </c>
      <c r="D13" s="15">
        <v>65.898216559999995</v>
      </c>
      <c r="G13" s="14">
        <v>100</v>
      </c>
      <c r="H13" s="52">
        <v>5.6714595123776324</v>
      </c>
      <c r="I13" s="52">
        <v>1.9404283405492606E-2</v>
      </c>
      <c r="O13">
        <v>78</v>
      </c>
      <c r="P13">
        <v>4.8499999999999996</v>
      </c>
      <c r="Q13">
        <v>0.1</v>
      </c>
    </row>
    <row r="14" spans="2:17">
      <c r="B14" s="4">
        <v>84</v>
      </c>
      <c r="C14" s="15">
        <v>13.16041895</v>
      </c>
      <c r="D14" s="15">
        <v>103.22497079999999</v>
      </c>
    </row>
    <row r="15" spans="2:17">
      <c r="B15" s="4">
        <v>88</v>
      </c>
      <c r="C15" s="15">
        <v>4.050785952</v>
      </c>
      <c r="D15" s="15">
        <v>2.7279707E-2</v>
      </c>
    </row>
    <row r="16" spans="2:17">
      <c r="B16" s="22">
        <v>92</v>
      </c>
      <c r="C16" s="15">
        <v>17.9821481</v>
      </c>
      <c r="D16" s="15">
        <v>75.478758889999995</v>
      </c>
      <c r="K16">
        <v>10</v>
      </c>
      <c r="L16">
        <v>3.56</v>
      </c>
      <c r="M16">
        <v>0.03</v>
      </c>
    </row>
    <row r="17" spans="11:13">
      <c r="K17">
        <v>24</v>
      </c>
      <c r="L17">
        <v>7.02</v>
      </c>
      <c r="M17">
        <v>0.13</v>
      </c>
    </row>
    <row r="18" spans="11:13">
      <c r="K18">
        <v>36</v>
      </c>
      <c r="L18">
        <v>9.83</v>
      </c>
      <c r="M18">
        <v>1</v>
      </c>
    </row>
    <row r="19" spans="11:13">
      <c r="K19">
        <v>39</v>
      </c>
      <c r="L19">
        <v>6.64</v>
      </c>
      <c r="M19">
        <v>0.21</v>
      </c>
    </row>
    <row r="20" spans="11:13">
      <c r="K20">
        <v>45</v>
      </c>
      <c r="L20">
        <v>3.13</v>
      </c>
      <c r="M20">
        <v>0.02</v>
      </c>
    </row>
    <row r="21" spans="11:13">
      <c r="K21">
        <v>48</v>
      </c>
      <c r="L21">
        <v>5.98</v>
      </c>
      <c r="M21">
        <v>0.02</v>
      </c>
    </row>
    <row r="22" spans="11:13">
      <c r="K22">
        <v>51</v>
      </c>
      <c r="L22">
        <v>7.2</v>
      </c>
      <c r="M22">
        <v>0.19</v>
      </c>
    </row>
    <row r="23" spans="11:13">
      <c r="K23">
        <v>54</v>
      </c>
      <c r="L23">
        <v>5.97</v>
      </c>
      <c r="M23">
        <v>0.06</v>
      </c>
    </row>
    <row r="24" spans="11:13">
      <c r="K24">
        <v>63</v>
      </c>
      <c r="L24">
        <v>6.99</v>
      </c>
      <c r="M24">
        <v>0.08</v>
      </c>
    </row>
    <row r="25" spans="11:13">
      <c r="K25">
        <v>72</v>
      </c>
      <c r="L25">
        <v>4.28</v>
      </c>
      <c r="M25">
        <v>0.01</v>
      </c>
    </row>
    <row r="26" spans="11:13">
      <c r="K26">
        <v>78</v>
      </c>
      <c r="L26">
        <v>4.8499999999999996</v>
      </c>
      <c r="M26">
        <v>0.1</v>
      </c>
    </row>
  </sheetData>
  <conditionalFormatting sqref="D3:D16">
    <cfRule type="cellIs" dxfId="6" priority="3" operator="greaterThan">
      <formula>0.1</formula>
    </cfRule>
  </conditionalFormatting>
  <conditionalFormatting sqref="I3:I13">
    <cfRule type="cellIs" dxfId="5" priority="2" operator="greaterThan">
      <formula>0.1</formula>
    </cfRule>
  </conditionalFormatting>
  <conditionalFormatting sqref="M3:M12">
    <cfRule type="cellIs" dxfId="4" priority="1" operator="greaterThan">
      <formula>0.1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DC69-C0BD-456E-A0FB-DD38161AF40C}">
  <dimension ref="A1:J195"/>
  <sheetViews>
    <sheetView zoomScaleNormal="100" workbookViewId="0">
      <selection activeCell="D5" sqref="D5:F18"/>
    </sheetView>
    <sheetView workbookViewId="1"/>
  </sheetViews>
  <sheetFormatPr defaultRowHeight="15" outlineLevelRow="1"/>
  <cols>
    <col min="1" max="1" width="10.42578125" customWidth="1"/>
    <col min="2" max="2" width="23.140625" customWidth="1"/>
    <col min="3" max="3" width="11.28515625" customWidth="1"/>
    <col min="4" max="5" width="33.28515625" customWidth="1"/>
    <col min="6" max="6" width="15.7109375" bestFit="1" customWidth="1"/>
    <col min="7" max="7" width="21.7109375" customWidth="1"/>
    <col min="8" max="8" width="12.140625" customWidth="1"/>
    <col min="9" max="9" width="47.42578125" customWidth="1"/>
    <col min="10" max="10" width="23.140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 t="s">
        <v>61</v>
      </c>
      <c r="B2" s="32" t="s">
        <v>78</v>
      </c>
      <c r="C2" s="34"/>
      <c r="D2" s="34"/>
      <c r="E2" s="32">
        <v>7</v>
      </c>
      <c r="F2" s="32">
        <v>1550</v>
      </c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79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outlineLevel="1">
      <c r="A5" s="3">
        <v>1</v>
      </c>
      <c r="B5" s="4" t="s">
        <v>16</v>
      </c>
      <c r="C5" s="4" t="s">
        <v>66</v>
      </c>
      <c r="D5" s="3">
        <v>8</v>
      </c>
      <c r="E5" s="5">
        <v>3.8016985390000002</v>
      </c>
      <c r="F5" s="5">
        <v>6.5715203E-2</v>
      </c>
      <c r="G5" s="6"/>
      <c r="H5" s="12"/>
      <c r="I5" s="3"/>
      <c r="J5" s="12"/>
    </row>
    <row r="6" spans="1:10" outlineLevel="1">
      <c r="A6" s="3">
        <v>2</v>
      </c>
      <c r="B6" s="7"/>
      <c r="C6" s="7"/>
      <c r="D6" s="3">
        <v>12</v>
      </c>
      <c r="E6" s="5">
        <v>4.5594943580000002</v>
      </c>
      <c r="F6" s="5">
        <v>8.2247903999999997E-2</v>
      </c>
      <c r="G6" s="6"/>
      <c r="H6" s="12"/>
      <c r="I6" s="3"/>
      <c r="J6" s="12"/>
    </row>
    <row r="7" spans="1:10" outlineLevel="1">
      <c r="A7" s="3">
        <v>3</v>
      </c>
      <c r="B7" s="7"/>
      <c r="C7" s="7"/>
      <c r="D7" s="3">
        <v>16</v>
      </c>
      <c r="E7" s="5">
        <v>10.707618419999999</v>
      </c>
      <c r="F7" s="5">
        <v>35.209952770000001</v>
      </c>
      <c r="G7" s="6"/>
      <c r="H7" s="12"/>
      <c r="I7" s="3"/>
      <c r="J7" s="12"/>
    </row>
    <row r="8" spans="1:10" outlineLevel="1">
      <c r="A8" s="3">
        <v>4</v>
      </c>
      <c r="B8" s="7"/>
      <c r="C8" s="7"/>
      <c r="D8" s="3">
        <v>33</v>
      </c>
      <c r="E8" s="5">
        <v>3.9804322679999999</v>
      </c>
      <c r="F8" s="5">
        <v>2.8292244000000001E-2</v>
      </c>
      <c r="G8" s="6"/>
      <c r="H8" s="12"/>
      <c r="I8" s="3"/>
      <c r="J8" s="12"/>
    </row>
    <row r="9" spans="1:10" outlineLevel="1">
      <c r="A9" s="3">
        <v>5</v>
      </c>
      <c r="B9" s="7"/>
      <c r="C9" s="7"/>
      <c r="D9" s="3">
        <v>35</v>
      </c>
      <c r="E9" s="5">
        <v>4.9293884849999996</v>
      </c>
      <c r="F9" s="5">
        <v>3.4349449999999997E-2</v>
      </c>
      <c r="G9" s="6"/>
      <c r="H9" s="12"/>
      <c r="I9" s="3"/>
      <c r="J9" s="12"/>
    </row>
    <row r="10" spans="1:10" outlineLevel="1">
      <c r="A10" s="3">
        <v>6</v>
      </c>
      <c r="B10" s="7"/>
      <c r="C10" s="7"/>
      <c r="D10" s="3">
        <v>37</v>
      </c>
      <c r="E10" s="5">
        <v>12.8553909</v>
      </c>
      <c r="F10" s="5">
        <v>117.3037983</v>
      </c>
      <c r="G10" s="6"/>
      <c r="H10" s="12"/>
      <c r="I10" s="3"/>
      <c r="J10" s="12"/>
    </row>
    <row r="11" spans="1:10" outlineLevel="1">
      <c r="A11" s="3">
        <v>7</v>
      </c>
      <c r="B11" s="7"/>
      <c r="C11" s="7"/>
      <c r="D11" s="3">
        <v>41</v>
      </c>
      <c r="E11" s="5">
        <v>4.7918199350000004</v>
      </c>
      <c r="F11" s="5">
        <v>1.8803199E-2</v>
      </c>
      <c r="G11" s="6"/>
      <c r="H11" s="12"/>
      <c r="I11" s="3"/>
      <c r="J11" s="12"/>
    </row>
    <row r="12" spans="1:10" outlineLevel="1">
      <c r="A12" s="3">
        <v>8</v>
      </c>
      <c r="B12" s="7"/>
      <c r="C12" s="7"/>
      <c r="D12" s="3">
        <v>59</v>
      </c>
      <c r="E12" s="5">
        <v>4.6096069079999999</v>
      </c>
      <c r="F12" s="5">
        <v>5.4239010999999997E-2</v>
      </c>
      <c r="G12" s="6"/>
      <c r="H12" s="12"/>
      <c r="I12" s="3"/>
      <c r="J12" s="12"/>
    </row>
    <row r="13" spans="1:10" outlineLevel="1">
      <c r="A13" s="3">
        <v>9</v>
      </c>
      <c r="B13" s="7"/>
      <c r="C13" s="7"/>
      <c r="D13" s="3">
        <v>63</v>
      </c>
      <c r="E13" s="5">
        <v>13.828745939999999</v>
      </c>
      <c r="F13" s="5">
        <v>66.234408369999997</v>
      </c>
      <c r="G13" s="6"/>
      <c r="H13" s="12"/>
      <c r="I13" s="3"/>
      <c r="J13" s="12"/>
    </row>
    <row r="14" spans="1:10" outlineLevel="1">
      <c r="A14" s="3"/>
      <c r="B14" s="7"/>
      <c r="C14" s="7"/>
      <c r="D14" s="4">
        <v>65</v>
      </c>
      <c r="E14" s="15">
        <v>9.3619678020000006</v>
      </c>
      <c r="F14" s="15">
        <v>84.875877500000001</v>
      </c>
      <c r="G14" s="16"/>
      <c r="H14" s="17"/>
      <c r="I14" s="4"/>
      <c r="J14" s="17"/>
    </row>
    <row r="15" spans="1:10" outlineLevel="1">
      <c r="A15" s="3"/>
      <c r="B15" s="7"/>
      <c r="C15" s="7"/>
      <c r="D15" s="4">
        <v>67</v>
      </c>
      <c r="E15" s="15">
        <v>11.39991143</v>
      </c>
      <c r="F15" s="15">
        <v>65.898216559999995</v>
      </c>
      <c r="G15" s="16"/>
      <c r="H15" s="17"/>
      <c r="I15" s="4"/>
      <c r="J15" s="17"/>
    </row>
    <row r="16" spans="1:10" outlineLevel="1">
      <c r="A16" s="3"/>
      <c r="B16" s="7"/>
      <c r="C16" s="7"/>
      <c r="D16" s="4">
        <v>84</v>
      </c>
      <c r="E16" s="15">
        <v>13.16041895</v>
      </c>
      <c r="F16" s="15">
        <v>103.22497079999999</v>
      </c>
      <c r="G16" s="16"/>
      <c r="H16" s="17"/>
      <c r="I16" s="4"/>
      <c r="J16" s="17"/>
    </row>
    <row r="17" spans="1:10" outlineLevel="1">
      <c r="A17" s="3"/>
      <c r="B17" s="7"/>
      <c r="C17" s="7"/>
      <c r="D17" s="4">
        <v>88</v>
      </c>
      <c r="E17" s="15">
        <v>4.050785952</v>
      </c>
      <c r="F17" s="15">
        <v>2.7279707E-2</v>
      </c>
      <c r="G17" s="16"/>
      <c r="H17" s="17"/>
      <c r="I17" s="4"/>
      <c r="J17" s="17"/>
    </row>
    <row r="18" spans="1:10" ht="15.75" outlineLevel="1" thickBot="1">
      <c r="A18" s="3">
        <v>10</v>
      </c>
      <c r="B18" s="7"/>
      <c r="C18" s="9"/>
      <c r="D18" s="22">
        <v>92</v>
      </c>
      <c r="E18" s="15">
        <v>17.9821481</v>
      </c>
      <c r="F18" s="15">
        <v>75.478758889999995</v>
      </c>
      <c r="G18" s="16"/>
      <c r="H18" s="17"/>
      <c r="I18" s="4"/>
      <c r="J18" s="17"/>
    </row>
    <row r="19" spans="1:10" ht="15.75" thickBot="1">
      <c r="A19" s="3">
        <v>10</v>
      </c>
      <c r="B19" s="7" t="s">
        <v>16</v>
      </c>
      <c r="C19" s="21"/>
      <c r="D19" s="23" t="s">
        <v>22</v>
      </c>
      <c r="E19" s="24">
        <f>AVERAGE(E5:E6,E8:E9,E11:E12,E17)</f>
        <v>4.3890323492857144</v>
      </c>
      <c r="F19" s="25"/>
      <c r="G19" s="26"/>
      <c r="H19" s="27"/>
      <c r="I19" s="28"/>
      <c r="J19" s="20"/>
    </row>
    <row r="20" spans="1:10" outlineLevel="1">
      <c r="A20" s="3">
        <v>11</v>
      </c>
      <c r="B20" s="7"/>
      <c r="C20" s="7"/>
      <c r="D20" s="8"/>
      <c r="E20" s="10"/>
      <c r="F20" s="10"/>
      <c r="G20" s="11"/>
      <c r="H20" s="13"/>
      <c r="I20" s="8"/>
      <c r="J20" s="18"/>
    </row>
    <row r="21" spans="1:10" outlineLevel="1">
      <c r="A21" s="3">
        <v>12</v>
      </c>
      <c r="B21" s="7"/>
      <c r="C21" s="7"/>
      <c r="D21" s="3"/>
      <c r="E21" s="5"/>
      <c r="F21" s="5"/>
      <c r="G21" s="6"/>
      <c r="H21" s="12"/>
      <c r="I21" s="4"/>
      <c r="J21" s="17"/>
    </row>
    <row r="22" spans="1:10" outlineLevel="1">
      <c r="A22" s="3">
        <v>13</v>
      </c>
      <c r="B22" s="7"/>
      <c r="C22" s="7"/>
      <c r="D22" s="3"/>
      <c r="E22" s="5"/>
      <c r="F22" s="5"/>
      <c r="G22" s="6"/>
      <c r="H22" s="12"/>
      <c r="I22" s="4"/>
      <c r="J22" s="17"/>
    </row>
    <row r="23" spans="1:10" outlineLevel="1">
      <c r="A23" s="3">
        <v>14</v>
      </c>
      <c r="B23" s="7"/>
      <c r="C23" s="7"/>
      <c r="D23" s="3"/>
      <c r="E23" s="5"/>
      <c r="F23" s="5"/>
      <c r="G23" s="6"/>
      <c r="H23" s="12"/>
      <c r="I23" s="4"/>
      <c r="J23" s="17"/>
    </row>
    <row r="24" spans="1:10" outlineLevel="1">
      <c r="A24" s="3">
        <v>15</v>
      </c>
      <c r="B24" s="7"/>
      <c r="C24" s="7"/>
      <c r="D24" s="3"/>
      <c r="E24" s="5"/>
      <c r="F24" s="5"/>
      <c r="G24" s="6"/>
      <c r="H24" s="12"/>
      <c r="I24" s="4"/>
      <c r="J24" s="17"/>
    </row>
    <row r="25" spans="1:10" outlineLevel="1">
      <c r="A25" s="3">
        <v>16</v>
      </c>
      <c r="B25" s="7"/>
      <c r="C25" s="7"/>
      <c r="D25" s="3"/>
      <c r="E25" s="5"/>
      <c r="F25" s="5"/>
      <c r="G25" s="6"/>
      <c r="H25" s="12"/>
      <c r="I25" s="4"/>
      <c r="J25" s="17"/>
    </row>
    <row r="26" spans="1:10" outlineLevel="1">
      <c r="A26" s="3">
        <v>17</v>
      </c>
      <c r="B26" s="7"/>
      <c r="C26" s="7"/>
      <c r="D26" s="3"/>
      <c r="E26" s="5"/>
      <c r="F26" s="5"/>
      <c r="G26" s="6"/>
      <c r="H26" s="12"/>
      <c r="I26" s="4"/>
      <c r="J26" s="17"/>
    </row>
    <row r="27" spans="1:10" outlineLevel="1">
      <c r="A27" s="3">
        <v>18</v>
      </c>
      <c r="B27" s="7"/>
      <c r="C27" s="7"/>
      <c r="D27" s="3"/>
      <c r="E27" s="5"/>
      <c r="F27" s="5"/>
      <c r="G27" s="6"/>
      <c r="H27" s="12"/>
      <c r="I27" s="4"/>
      <c r="J27" s="17"/>
    </row>
    <row r="28" spans="1:10" outlineLevel="1">
      <c r="A28" s="4">
        <v>19</v>
      </c>
      <c r="B28" s="7"/>
      <c r="C28" s="7"/>
      <c r="D28" s="4"/>
      <c r="E28" s="5"/>
      <c r="F28" s="5"/>
      <c r="G28" s="6"/>
      <c r="H28" s="12"/>
      <c r="I28" s="4"/>
      <c r="J28" s="17"/>
    </row>
    <row r="29" spans="1:10" ht="15.75" outlineLevel="1" thickBot="1">
      <c r="A29" s="3">
        <v>20</v>
      </c>
      <c r="B29" s="7"/>
      <c r="C29" s="7"/>
      <c r="D29" s="4"/>
      <c r="E29" s="15"/>
      <c r="F29" s="15"/>
      <c r="G29" s="16"/>
      <c r="H29" s="17"/>
      <c r="I29" s="4"/>
      <c r="J29" s="17"/>
    </row>
    <row r="30" spans="1:10" ht="15.75" thickBot="1">
      <c r="A30" s="3">
        <v>20</v>
      </c>
      <c r="B30" s="31"/>
      <c r="C30" s="19"/>
      <c r="D30" s="29" t="s">
        <v>22</v>
      </c>
      <c r="E30" s="24" t="e">
        <f>AVERAGE(E21,E22,E23,E27)</f>
        <v>#DIV/0!</v>
      </c>
      <c r="F30" s="25"/>
      <c r="G30" s="26"/>
      <c r="H30" s="30"/>
      <c r="I30" s="28"/>
      <c r="J30" s="20"/>
    </row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collapsed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collapsed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collapsed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collapsed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collapsed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collapsed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collapsed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collapsed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collapsed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collapsed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collapsed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collapsed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collapsed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collapsed="1"/>
  </sheetData>
  <conditionalFormatting sqref="F5:F30">
    <cfRule type="cellIs" dxfId="3" priority="4" operator="greaterThan">
      <formula>0.1</formula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A283-D60B-4B32-9694-0698A8013C81}">
  <dimension ref="A1:J195"/>
  <sheetViews>
    <sheetView zoomScaleNormal="100" workbookViewId="0">
      <selection activeCell="D5" sqref="D5:F15"/>
    </sheetView>
    <sheetView workbookViewId="1">
      <selection activeCell="E26" sqref="E26"/>
    </sheetView>
  </sheetViews>
  <sheetFormatPr defaultRowHeight="15" outlineLevelRow="1"/>
  <cols>
    <col min="1" max="1" width="10.42578125" customWidth="1"/>
    <col min="2" max="2" width="23.140625" customWidth="1"/>
    <col min="3" max="3" width="11.28515625" customWidth="1"/>
    <col min="4" max="5" width="33.28515625" customWidth="1"/>
    <col min="6" max="6" width="15.7109375" bestFit="1" customWidth="1"/>
    <col min="7" max="7" width="21.7109375" customWidth="1"/>
    <col min="8" max="8" width="12.140625" customWidth="1"/>
    <col min="9" max="9" width="47.42578125" customWidth="1"/>
    <col min="10" max="10" width="23.140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 t="s">
        <v>61</v>
      </c>
      <c r="B2" s="32" t="s">
        <v>78</v>
      </c>
      <c r="C2" s="34"/>
      <c r="D2" s="34"/>
      <c r="E2" s="32">
        <v>11</v>
      </c>
      <c r="F2" s="32">
        <v>1550</v>
      </c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79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outlineLevel="1">
      <c r="A5" s="3">
        <v>1</v>
      </c>
      <c r="B5" s="4" t="s">
        <v>16</v>
      </c>
      <c r="C5" s="4" t="s">
        <v>66</v>
      </c>
      <c r="D5" s="14">
        <v>1</v>
      </c>
      <c r="E5" s="52">
        <v>4.7761622863905213</v>
      </c>
      <c r="F5" s="52">
        <v>2.444326154673945</v>
      </c>
      <c r="G5" s="6"/>
      <c r="H5" s="12"/>
      <c r="I5" s="3"/>
      <c r="J5" s="12"/>
    </row>
    <row r="6" spans="1:10" outlineLevel="1">
      <c r="A6" s="3">
        <v>2</v>
      </c>
      <c r="B6" s="7"/>
      <c r="C6" s="7"/>
      <c r="D6" s="14">
        <v>33</v>
      </c>
      <c r="E6" s="52">
        <v>4.9059561153155986</v>
      </c>
      <c r="F6" s="52">
        <v>4.575777719674079E-2</v>
      </c>
      <c r="G6" s="6"/>
      <c r="H6" s="12"/>
      <c r="I6" s="3"/>
      <c r="J6" s="12"/>
    </row>
    <row r="7" spans="1:10" outlineLevel="1">
      <c r="A7" s="3">
        <v>3</v>
      </c>
      <c r="B7" s="7"/>
      <c r="C7" s="7"/>
      <c r="D7" s="14">
        <v>35</v>
      </c>
      <c r="E7" s="52">
        <v>5.0255103214567178</v>
      </c>
      <c r="F7" s="52">
        <v>2.887958752535269E-2</v>
      </c>
      <c r="G7" s="6"/>
      <c r="H7" s="12"/>
      <c r="I7" s="3"/>
      <c r="J7" s="12"/>
    </row>
    <row r="8" spans="1:10" outlineLevel="1">
      <c r="A8" s="3">
        <v>4</v>
      </c>
      <c r="B8" s="7"/>
      <c r="C8" s="7"/>
      <c r="D8" s="14">
        <v>37</v>
      </c>
      <c r="E8" s="52">
        <v>5.6724267375450532</v>
      </c>
      <c r="F8" s="52">
        <v>1.3169828313948528E-2</v>
      </c>
      <c r="G8" s="6"/>
      <c r="H8" s="12"/>
      <c r="I8" s="3"/>
      <c r="J8" s="12"/>
    </row>
    <row r="9" spans="1:10" outlineLevel="1">
      <c r="A9" s="3">
        <v>5</v>
      </c>
      <c r="B9" s="7"/>
      <c r="C9" s="7"/>
      <c r="D9" s="14">
        <v>47</v>
      </c>
      <c r="E9" s="52">
        <v>5.0594240734837292</v>
      </c>
      <c r="F9" s="52">
        <v>2.6731825350452709E-2</v>
      </c>
      <c r="G9" s="6"/>
      <c r="H9" s="12"/>
      <c r="I9" s="3"/>
      <c r="J9" s="12"/>
    </row>
    <row r="10" spans="1:10" outlineLevel="1">
      <c r="A10" s="3">
        <v>6</v>
      </c>
      <c r="B10" s="7"/>
      <c r="C10" s="7"/>
      <c r="D10" s="14">
        <v>54</v>
      </c>
      <c r="E10" s="52">
        <v>4.5212135921007519</v>
      </c>
      <c r="F10" s="52">
        <v>7.8438195787384757E-3</v>
      </c>
      <c r="G10" s="6"/>
      <c r="H10" s="12"/>
      <c r="I10" s="3"/>
      <c r="J10" s="12"/>
    </row>
    <row r="11" spans="1:10" outlineLevel="1">
      <c r="A11" s="3">
        <v>7</v>
      </c>
      <c r="B11" s="7"/>
      <c r="C11" s="7"/>
      <c r="D11" s="14">
        <v>58</v>
      </c>
      <c r="E11" s="52">
        <v>4.9321930232132321</v>
      </c>
      <c r="F11" s="52">
        <v>2.6034511499346991E-2</v>
      </c>
      <c r="G11" s="6"/>
      <c r="H11" s="12"/>
      <c r="I11" s="3"/>
      <c r="J11" s="12"/>
    </row>
    <row r="12" spans="1:10" outlineLevel="1">
      <c r="A12" s="3">
        <v>8</v>
      </c>
      <c r="B12" s="7"/>
      <c r="C12" s="7"/>
      <c r="D12" s="14">
        <v>76</v>
      </c>
      <c r="E12" s="52">
        <v>5.144772327798993</v>
      </c>
      <c r="F12" s="52">
        <v>1.8529103892433341E-2</v>
      </c>
      <c r="G12" s="6"/>
      <c r="H12" s="12"/>
      <c r="I12" s="3"/>
      <c r="J12" s="12"/>
    </row>
    <row r="13" spans="1:10" outlineLevel="1">
      <c r="A13" s="3">
        <v>9</v>
      </c>
      <c r="B13" s="7"/>
      <c r="C13" s="7"/>
      <c r="D13" s="14">
        <v>89</v>
      </c>
      <c r="E13" s="52">
        <v>4.4133391833875422</v>
      </c>
      <c r="F13" s="52">
        <v>1.5171549496244552E-2</v>
      </c>
      <c r="G13" s="6"/>
      <c r="H13" s="12"/>
      <c r="I13" s="3"/>
      <c r="J13" s="12"/>
    </row>
    <row r="14" spans="1:10" outlineLevel="1">
      <c r="A14" s="3"/>
      <c r="B14" s="7"/>
      <c r="C14" s="7"/>
      <c r="D14" s="14">
        <v>95</v>
      </c>
      <c r="E14" s="52">
        <v>11.423870980412243</v>
      </c>
      <c r="F14" s="52">
        <v>98.214408941648799</v>
      </c>
      <c r="G14" s="16"/>
      <c r="H14" s="17"/>
      <c r="I14" s="4"/>
      <c r="J14" s="17"/>
    </row>
    <row r="15" spans="1:10" outlineLevel="1">
      <c r="A15" s="3"/>
      <c r="B15" s="7"/>
      <c r="C15" s="7"/>
      <c r="D15" s="14">
        <v>100</v>
      </c>
      <c r="E15" s="52">
        <v>5.6714595123776324</v>
      </c>
      <c r="F15" s="52">
        <v>1.9404283405492606E-2</v>
      </c>
      <c r="G15" s="16"/>
      <c r="H15" s="17"/>
      <c r="I15" s="4"/>
      <c r="J15" s="17"/>
    </row>
    <row r="16" spans="1:10" outlineLevel="1">
      <c r="A16" s="3"/>
      <c r="B16" s="7"/>
      <c r="C16" s="7"/>
      <c r="D16" s="4"/>
      <c r="E16" s="15"/>
      <c r="F16" s="15"/>
      <c r="G16" s="16"/>
      <c r="H16" s="17"/>
      <c r="I16" s="4"/>
      <c r="J16" s="17"/>
    </row>
    <row r="17" spans="1:10" outlineLevel="1">
      <c r="A17" s="3"/>
      <c r="B17" s="7"/>
      <c r="C17" s="7"/>
      <c r="D17" s="4"/>
      <c r="E17" s="15"/>
      <c r="F17" s="15"/>
      <c r="G17" s="16"/>
      <c r="H17" s="17"/>
      <c r="I17" s="4"/>
      <c r="J17" s="17"/>
    </row>
    <row r="18" spans="1:10" ht="15.75" outlineLevel="1" thickBot="1">
      <c r="A18" s="3">
        <v>10</v>
      </c>
      <c r="B18" s="7"/>
      <c r="C18" s="9"/>
      <c r="D18" s="22"/>
      <c r="E18" s="15"/>
      <c r="F18" s="15"/>
      <c r="G18" s="16"/>
      <c r="H18" s="17"/>
      <c r="I18" s="4"/>
      <c r="J18" s="17"/>
    </row>
    <row r="19" spans="1:10" ht="15.75" thickBot="1">
      <c r="A19" s="3">
        <v>10</v>
      </c>
      <c r="B19" s="7" t="s">
        <v>16</v>
      </c>
      <c r="C19" s="21"/>
      <c r="D19" s="23" t="s">
        <v>22</v>
      </c>
      <c r="E19" s="24">
        <f>AVERAGE(E6:E13,E15)</f>
        <v>5.0384772096310275</v>
      </c>
      <c r="F19" s="25"/>
      <c r="G19" s="26"/>
      <c r="H19" s="27"/>
      <c r="I19" s="28"/>
      <c r="J19" s="20"/>
    </row>
    <row r="20" spans="1:10" outlineLevel="1">
      <c r="A20" s="3">
        <v>11</v>
      </c>
      <c r="B20" s="7"/>
      <c r="C20" s="7"/>
      <c r="D20" s="8"/>
      <c r="E20" s="10"/>
      <c r="F20" s="10"/>
      <c r="G20" s="11"/>
      <c r="H20" s="13"/>
      <c r="I20" s="8"/>
      <c r="J20" s="18"/>
    </row>
    <row r="21" spans="1:10" outlineLevel="1">
      <c r="A21" s="3">
        <v>12</v>
      </c>
      <c r="B21" s="7"/>
      <c r="C21" s="7"/>
      <c r="D21" s="3"/>
      <c r="E21" s="5"/>
      <c r="F21" s="5"/>
      <c r="G21" s="6"/>
      <c r="H21" s="12"/>
      <c r="I21" s="4"/>
      <c r="J21" s="17"/>
    </row>
    <row r="22" spans="1:10" outlineLevel="1">
      <c r="A22" s="3">
        <v>13</v>
      </c>
      <c r="B22" s="7"/>
      <c r="C22" s="7"/>
      <c r="D22" s="3"/>
      <c r="E22" s="5"/>
      <c r="F22" s="5"/>
      <c r="G22" s="6"/>
      <c r="H22" s="12"/>
      <c r="I22" s="4"/>
      <c r="J22" s="17"/>
    </row>
    <row r="23" spans="1:10" outlineLevel="1">
      <c r="A23" s="3">
        <v>14</v>
      </c>
      <c r="B23" s="7"/>
      <c r="C23" s="7"/>
      <c r="D23" s="3"/>
      <c r="E23" s="5"/>
      <c r="F23" s="5"/>
      <c r="G23" s="6"/>
      <c r="H23" s="12"/>
      <c r="I23" s="4"/>
      <c r="J23" s="17"/>
    </row>
    <row r="24" spans="1:10" outlineLevel="1">
      <c r="A24" s="3">
        <v>15</v>
      </c>
      <c r="B24" s="7"/>
      <c r="C24" s="7"/>
      <c r="D24" s="3"/>
      <c r="E24" s="5"/>
      <c r="F24" s="5"/>
      <c r="G24" s="6"/>
      <c r="H24" s="12"/>
      <c r="I24" s="4"/>
      <c r="J24" s="17"/>
    </row>
    <row r="25" spans="1:10" outlineLevel="1">
      <c r="A25" s="3">
        <v>16</v>
      </c>
      <c r="B25" s="7"/>
      <c r="C25" s="7"/>
      <c r="D25" s="3"/>
      <c r="E25" s="5"/>
      <c r="F25" s="5"/>
      <c r="G25" s="6"/>
      <c r="H25" s="12"/>
      <c r="I25" s="4"/>
      <c r="J25" s="17"/>
    </row>
    <row r="26" spans="1:10" outlineLevel="1">
      <c r="A26" s="3">
        <v>17</v>
      </c>
      <c r="B26" s="7"/>
      <c r="C26" s="7"/>
      <c r="D26" s="3"/>
      <c r="E26" s="5"/>
      <c r="F26" s="5"/>
      <c r="G26" s="6"/>
      <c r="H26" s="12"/>
      <c r="I26" s="4"/>
      <c r="J26" s="17"/>
    </row>
    <row r="27" spans="1:10" outlineLevel="1">
      <c r="A27" s="3">
        <v>18</v>
      </c>
      <c r="B27" s="7"/>
      <c r="C27" s="7"/>
      <c r="D27" s="3"/>
      <c r="E27" s="5"/>
      <c r="F27" s="5"/>
      <c r="G27" s="6"/>
      <c r="H27" s="12"/>
      <c r="I27" s="4"/>
      <c r="J27" s="17"/>
    </row>
    <row r="28" spans="1:10" outlineLevel="1">
      <c r="A28" s="4">
        <v>19</v>
      </c>
      <c r="B28" s="7"/>
      <c r="C28" s="7"/>
      <c r="D28" s="4"/>
      <c r="E28" s="5"/>
      <c r="F28" s="5"/>
      <c r="G28" s="6"/>
      <c r="H28" s="12"/>
      <c r="I28" s="4"/>
      <c r="J28" s="17"/>
    </row>
    <row r="29" spans="1:10" ht="15.75" outlineLevel="1" thickBot="1">
      <c r="A29" s="3">
        <v>20</v>
      </c>
      <c r="B29" s="7"/>
      <c r="C29" s="7"/>
      <c r="D29" s="4"/>
      <c r="E29" s="15"/>
      <c r="F29" s="15"/>
      <c r="G29" s="16"/>
      <c r="H29" s="17"/>
      <c r="I29" s="4"/>
      <c r="J29" s="17"/>
    </row>
    <row r="30" spans="1:10" ht="15.75" thickBot="1">
      <c r="A30" s="3">
        <v>20</v>
      </c>
      <c r="B30" s="31"/>
      <c r="C30" s="19"/>
      <c r="D30" s="29" t="s">
        <v>22</v>
      </c>
      <c r="E30" s="24" t="e">
        <f>AVERAGE(E21,E22,E23,E27)</f>
        <v>#DIV/0!</v>
      </c>
      <c r="F30" s="25"/>
      <c r="G30" s="26"/>
      <c r="H30" s="30"/>
      <c r="I30" s="28"/>
      <c r="J30" s="20"/>
    </row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collapsed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collapsed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collapsed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collapsed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collapsed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collapsed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collapsed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collapsed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collapsed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collapsed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collapsed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collapsed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collapsed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collapsed="1"/>
  </sheetData>
  <conditionalFormatting sqref="F5:F30">
    <cfRule type="cellIs" dxfId="2" priority="1" operator="greaterThan">
      <formula>0.1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08EE-88E7-4CB0-A470-5713DA163F9E}">
  <dimension ref="A1:J195"/>
  <sheetViews>
    <sheetView zoomScaleNormal="100" workbookViewId="0">
      <selection activeCell="E20" sqref="E20"/>
    </sheetView>
    <sheetView workbookViewId="1">
      <selection activeCell="D5" sqref="D5:F14"/>
    </sheetView>
  </sheetViews>
  <sheetFormatPr defaultRowHeight="15" outlineLevelRow="1"/>
  <cols>
    <col min="1" max="1" width="10.42578125" customWidth="1"/>
    <col min="2" max="2" width="23.140625" customWidth="1"/>
    <col min="3" max="3" width="11.28515625" customWidth="1"/>
    <col min="4" max="5" width="33.28515625" customWidth="1"/>
    <col min="6" max="6" width="15.7109375" bestFit="1" customWidth="1"/>
    <col min="7" max="7" width="21.7109375" customWidth="1"/>
    <col min="8" max="8" width="12.140625" customWidth="1"/>
    <col min="9" max="9" width="47.42578125" customWidth="1"/>
    <col min="10" max="10" width="23.140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 t="s">
        <v>61</v>
      </c>
      <c r="B2" s="32" t="s">
        <v>78</v>
      </c>
      <c r="C2" s="34"/>
      <c r="D2" s="34"/>
      <c r="E2" s="32">
        <v>12</v>
      </c>
      <c r="F2" s="32">
        <v>1550</v>
      </c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79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outlineLevel="1">
      <c r="A5" s="3">
        <v>1</v>
      </c>
      <c r="B5" s="4" t="s">
        <v>16</v>
      </c>
      <c r="C5" s="4" t="s">
        <v>66</v>
      </c>
      <c r="D5" s="3">
        <v>10</v>
      </c>
      <c r="E5" s="5">
        <v>3.0386560579999999</v>
      </c>
      <c r="F5" s="5">
        <v>2.9479292000000001E-2</v>
      </c>
      <c r="G5" s="6"/>
      <c r="H5" s="12"/>
      <c r="I5" s="3"/>
      <c r="J5" s="12"/>
    </row>
    <row r="6" spans="1:10" outlineLevel="1">
      <c r="A6" s="3">
        <v>2</v>
      </c>
      <c r="B6" s="7"/>
      <c r="C6" s="7"/>
      <c r="D6" s="3">
        <v>24</v>
      </c>
      <c r="E6" s="5">
        <v>7.0545806950000003</v>
      </c>
      <c r="F6" s="5">
        <v>0.20910891300000001</v>
      </c>
      <c r="G6" s="6"/>
      <c r="H6" s="12"/>
      <c r="I6" s="3" t="s">
        <v>80</v>
      </c>
      <c r="J6" s="12"/>
    </row>
    <row r="7" spans="1:10" outlineLevel="1">
      <c r="A7" s="3">
        <v>3</v>
      </c>
      <c r="B7" s="7"/>
      <c r="C7" s="7"/>
      <c r="D7" s="3">
        <v>36</v>
      </c>
      <c r="E7" s="5">
        <v>7.5593760029999997</v>
      </c>
      <c r="F7" s="5">
        <v>0.33270248899999999</v>
      </c>
      <c r="G7" s="6"/>
      <c r="H7" s="12"/>
      <c r="I7" s="3" t="s">
        <v>80</v>
      </c>
      <c r="J7" s="12"/>
    </row>
    <row r="8" spans="1:10" outlineLevel="1">
      <c r="A8" s="3">
        <v>4</v>
      </c>
      <c r="B8" s="7"/>
      <c r="C8" s="7"/>
      <c r="D8" s="3">
        <v>39</v>
      </c>
      <c r="E8" s="5">
        <v>6.8878791560000003</v>
      </c>
      <c r="F8" s="5">
        <v>2.2577854000000001E-2</v>
      </c>
      <c r="G8" s="6"/>
      <c r="H8" s="12"/>
      <c r="I8" s="3"/>
      <c r="J8" s="12"/>
    </row>
    <row r="9" spans="1:10" outlineLevel="1">
      <c r="A9" s="3">
        <v>5</v>
      </c>
      <c r="B9" s="7"/>
      <c r="C9" s="7"/>
      <c r="D9" s="3">
        <v>48</v>
      </c>
      <c r="E9" s="5">
        <v>4.9315566400000002</v>
      </c>
      <c r="F9" s="5">
        <v>1.6351369000000001E-2</v>
      </c>
      <c r="G9" s="6"/>
      <c r="H9" s="12"/>
      <c r="I9" s="3"/>
      <c r="J9" s="12"/>
    </row>
    <row r="10" spans="1:10" outlineLevel="1">
      <c r="A10" s="3">
        <v>6</v>
      </c>
      <c r="B10" s="7"/>
      <c r="C10" s="7"/>
      <c r="D10" s="3">
        <v>51</v>
      </c>
      <c r="E10" s="5">
        <v>6.2792691490000001</v>
      </c>
      <c r="F10" s="5">
        <v>1.6077686000000001E-2</v>
      </c>
      <c r="G10" s="6"/>
      <c r="H10" s="12"/>
      <c r="I10" s="3"/>
      <c r="J10" s="12"/>
    </row>
    <row r="11" spans="1:10" outlineLevel="1">
      <c r="A11" s="3">
        <v>7</v>
      </c>
      <c r="B11" s="7"/>
      <c r="C11" s="7"/>
      <c r="D11" s="3">
        <v>54</v>
      </c>
      <c r="E11" s="5">
        <v>3.4768161219999998</v>
      </c>
      <c r="F11" s="5">
        <v>6.0001730000000001E-3</v>
      </c>
      <c r="G11" s="6"/>
      <c r="H11" s="12"/>
      <c r="I11" s="3"/>
      <c r="J11" s="12"/>
    </row>
    <row r="12" spans="1:10" outlineLevel="1">
      <c r="A12" s="3">
        <v>8</v>
      </c>
      <c r="B12" s="7"/>
      <c r="C12" s="7"/>
      <c r="D12" s="3">
        <v>63</v>
      </c>
      <c r="E12" s="5">
        <v>5.2923086369999996</v>
      </c>
      <c r="F12" s="5">
        <v>7.2220966999999997E-2</v>
      </c>
      <c r="G12" s="6"/>
      <c r="H12" s="12"/>
      <c r="I12" s="3"/>
      <c r="J12" s="12"/>
    </row>
    <row r="13" spans="1:10" outlineLevel="1">
      <c r="A13" s="3">
        <v>9</v>
      </c>
      <c r="B13" s="7"/>
      <c r="C13" s="7"/>
      <c r="D13" s="3">
        <v>72</v>
      </c>
      <c r="E13" s="5">
        <v>3.8239437550000002</v>
      </c>
      <c r="F13" s="5">
        <v>5.6732105999999997E-2</v>
      </c>
      <c r="G13" s="6"/>
      <c r="H13" s="12"/>
      <c r="I13" s="3"/>
      <c r="J13" s="12"/>
    </row>
    <row r="14" spans="1:10" outlineLevel="1">
      <c r="A14" s="3"/>
      <c r="B14" s="7"/>
      <c r="C14" s="7"/>
      <c r="D14" s="4">
        <v>78</v>
      </c>
      <c r="E14" s="15">
        <v>4.0410066740000001</v>
      </c>
      <c r="F14" s="15">
        <v>1.4557970999999999E-2</v>
      </c>
      <c r="G14" s="16"/>
      <c r="H14" s="17"/>
      <c r="I14" s="4"/>
      <c r="J14" s="17"/>
    </row>
    <row r="15" spans="1:10" outlineLevel="1">
      <c r="A15" s="3"/>
      <c r="B15" s="7"/>
      <c r="C15" s="7"/>
      <c r="D15" s="4"/>
      <c r="E15" s="15"/>
      <c r="F15" s="15"/>
      <c r="G15" s="16"/>
      <c r="H15" s="17"/>
      <c r="I15" s="4"/>
      <c r="J15" s="17"/>
    </row>
    <row r="16" spans="1:10" outlineLevel="1">
      <c r="A16" s="3"/>
      <c r="B16" s="7"/>
      <c r="C16" s="7"/>
      <c r="D16" s="4"/>
      <c r="E16" s="15"/>
      <c r="F16" s="15"/>
      <c r="G16" s="16"/>
      <c r="H16" s="17"/>
      <c r="I16" s="4"/>
      <c r="J16" s="17"/>
    </row>
    <row r="17" spans="1:10" outlineLevel="1">
      <c r="A17" s="3"/>
      <c r="B17" s="7"/>
      <c r="C17" s="7"/>
      <c r="D17" s="4"/>
      <c r="E17" s="15"/>
      <c r="F17" s="15"/>
      <c r="G17" s="16"/>
      <c r="H17" s="17"/>
      <c r="I17" s="4"/>
      <c r="J17" s="17"/>
    </row>
    <row r="18" spans="1:10" ht="15.75" outlineLevel="1" thickBot="1">
      <c r="A18" s="3">
        <v>10</v>
      </c>
      <c r="B18" s="7"/>
      <c r="C18" s="9"/>
      <c r="D18" s="22"/>
      <c r="E18" s="15"/>
      <c r="F18" s="15"/>
      <c r="G18" s="16"/>
      <c r="H18" s="17"/>
      <c r="I18" s="4"/>
      <c r="J18" s="17"/>
    </row>
    <row r="19" spans="1:10" ht="15.75" thickBot="1">
      <c r="A19" s="3">
        <v>10</v>
      </c>
      <c r="B19" s="7" t="s">
        <v>16</v>
      </c>
      <c r="C19" s="21"/>
      <c r="D19" s="23" t="s">
        <v>22</v>
      </c>
      <c r="E19" s="24">
        <f>AVERAGE(E5,E8:E14)</f>
        <v>4.7214295238750008</v>
      </c>
      <c r="F19" s="25"/>
      <c r="G19" s="26"/>
      <c r="H19" s="27"/>
      <c r="I19" s="28"/>
      <c r="J19" s="20"/>
    </row>
    <row r="20" spans="1:10" outlineLevel="1">
      <c r="A20" s="3">
        <v>11</v>
      </c>
      <c r="B20" s="7"/>
      <c r="C20" s="7"/>
      <c r="D20" s="8"/>
      <c r="E20" s="10"/>
      <c r="F20" s="10"/>
      <c r="G20" s="11"/>
      <c r="H20" s="13"/>
      <c r="I20" s="8"/>
      <c r="J20" s="18"/>
    </row>
    <row r="21" spans="1:10" outlineLevel="1">
      <c r="A21" s="3">
        <v>12</v>
      </c>
      <c r="B21" s="7"/>
      <c r="C21" s="7"/>
      <c r="D21" s="3"/>
      <c r="E21" s="5"/>
      <c r="F21" s="5"/>
      <c r="G21" s="6"/>
      <c r="H21" s="12"/>
      <c r="I21" s="4"/>
      <c r="J21" s="17"/>
    </row>
    <row r="22" spans="1:10" outlineLevel="1">
      <c r="A22" s="3">
        <v>13</v>
      </c>
      <c r="B22" s="7"/>
      <c r="C22" s="7"/>
      <c r="D22" s="3"/>
      <c r="E22" s="5"/>
      <c r="F22" s="5"/>
      <c r="G22" s="6"/>
      <c r="H22" s="12"/>
      <c r="I22" s="4"/>
      <c r="J22" s="17"/>
    </row>
    <row r="23" spans="1:10" outlineLevel="1">
      <c r="A23" s="3">
        <v>14</v>
      </c>
      <c r="B23" s="7"/>
      <c r="C23" s="7"/>
      <c r="D23" s="3"/>
      <c r="E23" s="5"/>
      <c r="F23" s="5"/>
      <c r="G23" s="6"/>
      <c r="H23" s="12"/>
      <c r="I23" s="4"/>
      <c r="J23" s="17"/>
    </row>
    <row r="24" spans="1:10" outlineLevel="1">
      <c r="A24" s="3">
        <v>15</v>
      </c>
      <c r="B24" s="7"/>
      <c r="C24" s="7"/>
      <c r="D24" s="3"/>
      <c r="E24" s="5"/>
      <c r="F24" s="5"/>
      <c r="G24" s="6"/>
      <c r="H24" s="12"/>
      <c r="I24" s="4"/>
      <c r="J24" s="17"/>
    </row>
    <row r="25" spans="1:10" outlineLevel="1">
      <c r="A25" s="3">
        <v>16</v>
      </c>
      <c r="B25" s="7"/>
      <c r="C25" s="7"/>
      <c r="D25" s="3"/>
      <c r="E25" s="5"/>
      <c r="F25" s="5"/>
      <c r="G25" s="6"/>
      <c r="H25" s="12"/>
      <c r="I25" s="4"/>
      <c r="J25" s="17"/>
    </row>
    <row r="26" spans="1:10" outlineLevel="1">
      <c r="A26" s="3">
        <v>17</v>
      </c>
      <c r="B26" s="7"/>
      <c r="C26" s="7"/>
      <c r="D26" s="3"/>
      <c r="E26" s="5"/>
      <c r="F26" s="5"/>
      <c r="G26" s="6"/>
      <c r="H26" s="12"/>
      <c r="I26" s="4"/>
      <c r="J26" s="17"/>
    </row>
    <row r="27" spans="1:10" outlineLevel="1">
      <c r="A27" s="3">
        <v>18</v>
      </c>
      <c r="B27" s="7"/>
      <c r="C27" s="7"/>
      <c r="D27" s="3"/>
      <c r="E27" s="5"/>
      <c r="F27" s="5"/>
      <c r="G27" s="6"/>
      <c r="H27" s="12"/>
      <c r="I27" s="4"/>
      <c r="J27" s="17"/>
    </row>
    <row r="28" spans="1:10" outlineLevel="1">
      <c r="A28" s="4">
        <v>19</v>
      </c>
      <c r="B28" s="7"/>
      <c r="C28" s="7"/>
      <c r="D28" s="4"/>
      <c r="E28" s="5"/>
      <c r="F28" s="5"/>
      <c r="G28" s="6"/>
      <c r="H28" s="12"/>
      <c r="I28" s="4"/>
      <c r="J28" s="17"/>
    </row>
    <row r="29" spans="1:10" ht="15.75" outlineLevel="1" thickBot="1">
      <c r="A29" s="3">
        <v>20</v>
      </c>
      <c r="B29" s="7"/>
      <c r="C29" s="7"/>
      <c r="D29" s="4"/>
      <c r="E29" s="15"/>
      <c r="F29" s="15"/>
      <c r="G29" s="16"/>
      <c r="H29" s="17"/>
      <c r="I29" s="4"/>
      <c r="J29" s="17"/>
    </row>
    <row r="30" spans="1:10" ht="15.75" thickBot="1">
      <c r="A30" s="3">
        <v>20</v>
      </c>
      <c r="B30" s="31"/>
      <c r="C30" s="19"/>
      <c r="D30" s="29" t="s">
        <v>22</v>
      </c>
      <c r="E30" s="24" t="e">
        <f>AVERAGE(E21,E22,E23,E27)</f>
        <v>#DIV/0!</v>
      </c>
      <c r="F30" s="25"/>
      <c r="G30" s="26"/>
      <c r="H30" s="30"/>
      <c r="I30" s="28"/>
      <c r="J30" s="20"/>
    </row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collapsed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collapsed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collapsed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collapsed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collapsed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collapsed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collapsed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collapsed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collapsed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collapsed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collapsed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collapsed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collapsed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collapsed="1"/>
  </sheetData>
  <phoneticPr fontId="18" type="noConversion"/>
  <conditionalFormatting sqref="F5:F30">
    <cfRule type="cellIs" dxfId="1" priority="1" operator="greaterThan">
      <formula>0.1</formula>
    </cfRule>
  </conditionalFormatting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AE67-5922-4A1D-AF27-AFC1E33BBB21}">
  <dimension ref="A1:J198"/>
  <sheetViews>
    <sheetView zoomScaleNormal="100" workbookViewId="0">
      <selection activeCell="E34" sqref="E34"/>
    </sheetView>
    <sheetView workbookViewId="1">
      <selection activeCell="D20" sqref="D20:F30"/>
    </sheetView>
  </sheetViews>
  <sheetFormatPr defaultRowHeight="15" outlineLevelRow="1"/>
  <cols>
    <col min="1" max="1" width="10.42578125" customWidth="1"/>
    <col min="2" max="2" width="23.140625" customWidth="1"/>
    <col min="3" max="3" width="11.28515625" customWidth="1"/>
    <col min="4" max="5" width="33.28515625" customWidth="1"/>
    <col min="6" max="6" width="15.7109375" bestFit="1" customWidth="1"/>
    <col min="7" max="7" width="21.7109375" customWidth="1"/>
    <col min="8" max="8" width="12.140625" customWidth="1"/>
    <col min="9" max="9" width="47.42578125" customWidth="1"/>
    <col min="10" max="10" width="23.140625" customWidth="1"/>
  </cols>
  <sheetData>
    <row r="1" spans="1:10">
      <c r="A1" s="32" t="s">
        <v>0</v>
      </c>
      <c r="B1" s="32" t="s">
        <v>1</v>
      </c>
      <c r="C1" s="32"/>
      <c r="D1" s="32" t="s">
        <v>2</v>
      </c>
      <c r="E1" s="32" t="s">
        <v>3</v>
      </c>
      <c r="F1" s="32" t="s">
        <v>4</v>
      </c>
      <c r="G1" s="32" t="s">
        <v>5</v>
      </c>
    </row>
    <row r="2" spans="1:10" ht="15.75">
      <c r="A2" s="33" t="s">
        <v>61</v>
      </c>
      <c r="B2" s="32" t="s">
        <v>78</v>
      </c>
      <c r="C2" s="34"/>
      <c r="D2" s="34"/>
      <c r="E2" s="32">
        <v>12</v>
      </c>
      <c r="F2" s="32">
        <v>1550</v>
      </c>
      <c r="G2" s="32"/>
    </row>
    <row r="3" spans="1:10">
      <c r="D3" s="14"/>
      <c r="E3" s="14"/>
      <c r="G3" s="1"/>
    </row>
    <row r="4" spans="1:10">
      <c r="A4" s="2" t="s">
        <v>6</v>
      </c>
      <c r="B4" s="2" t="s">
        <v>7</v>
      </c>
      <c r="C4" s="2" t="s">
        <v>8</v>
      </c>
      <c r="D4" s="2" t="s">
        <v>9</v>
      </c>
      <c r="E4" s="2" t="s">
        <v>79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outlineLevel="1">
      <c r="A5" s="3">
        <v>1</v>
      </c>
      <c r="B5" s="4" t="s">
        <v>16</v>
      </c>
      <c r="C5" s="4" t="s">
        <v>66</v>
      </c>
      <c r="D5" s="3">
        <v>10</v>
      </c>
      <c r="E5" s="5">
        <v>3.5583071130000001</v>
      </c>
      <c r="F5" s="5">
        <v>2.8701681E-2</v>
      </c>
      <c r="G5" s="6"/>
      <c r="H5" s="12"/>
      <c r="I5" s="3"/>
      <c r="J5" s="12"/>
    </row>
    <row r="6" spans="1:10" outlineLevel="1">
      <c r="A6" s="3">
        <v>2</v>
      </c>
      <c r="B6" s="7"/>
      <c r="C6" s="7"/>
      <c r="D6" s="3">
        <v>24</v>
      </c>
      <c r="E6" s="5">
        <v>7.0160000350000002</v>
      </c>
      <c r="F6" s="5">
        <v>0.12738722199999999</v>
      </c>
      <c r="G6" s="6"/>
      <c r="H6" s="12"/>
      <c r="I6" s="3"/>
      <c r="J6" s="12"/>
    </row>
    <row r="7" spans="1:10" outlineLevel="1">
      <c r="A7" s="3">
        <v>3</v>
      </c>
      <c r="B7" s="7"/>
      <c r="C7" s="7"/>
      <c r="D7" s="3">
        <v>36</v>
      </c>
      <c r="E7" s="5">
        <v>9.8272974939999997</v>
      </c>
      <c r="F7" s="5">
        <v>0.99959245200000002</v>
      </c>
      <c r="G7" s="6"/>
      <c r="H7" s="12"/>
      <c r="I7" s="3"/>
      <c r="J7" s="12"/>
    </row>
    <row r="8" spans="1:10" outlineLevel="1">
      <c r="A8" s="3">
        <v>4</v>
      </c>
      <c r="B8" s="7"/>
      <c r="C8" s="7"/>
      <c r="D8" s="3">
        <v>39</v>
      </c>
      <c r="E8" s="5">
        <v>6.6435752189999997</v>
      </c>
      <c r="F8" s="5">
        <v>0.211566488</v>
      </c>
      <c r="G8" s="6"/>
      <c r="H8" s="12"/>
      <c r="I8" s="3"/>
      <c r="J8" s="12"/>
    </row>
    <row r="9" spans="1:10" outlineLevel="1">
      <c r="A9" s="3">
        <v>5</v>
      </c>
      <c r="B9" s="7"/>
      <c r="C9" s="7"/>
      <c r="D9" s="3">
        <v>45</v>
      </c>
      <c r="E9" s="5">
        <v>3.1316735019999999</v>
      </c>
      <c r="F9" s="5">
        <v>2.1843168999999999E-2</v>
      </c>
      <c r="G9" s="6"/>
      <c r="H9" s="12"/>
      <c r="I9" s="3"/>
      <c r="J9" s="12"/>
    </row>
    <row r="10" spans="1:10" outlineLevel="1">
      <c r="A10" s="3">
        <v>6</v>
      </c>
      <c r="B10" s="7"/>
      <c r="C10" s="7"/>
      <c r="D10" s="3">
        <v>48</v>
      </c>
      <c r="E10" s="5">
        <v>5.9847797619999996</v>
      </c>
      <c r="F10" s="5">
        <v>2.3518732000000001E-2</v>
      </c>
      <c r="G10" s="6"/>
      <c r="H10" s="12"/>
      <c r="I10" s="3"/>
      <c r="J10" s="12"/>
    </row>
    <row r="11" spans="1:10" outlineLevel="1">
      <c r="A11" s="3">
        <v>7</v>
      </c>
      <c r="B11" s="7"/>
      <c r="C11" s="7"/>
      <c r="D11" s="3">
        <v>51</v>
      </c>
      <c r="E11" s="5">
        <v>7.2005417310000004</v>
      </c>
      <c r="F11" s="5">
        <v>0.18897559799999999</v>
      </c>
      <c r="G11" s="6"/>
      <c r="H11" s="12"/>
      <c r="I11" s="3"/>
      <c r="J11" s="12"/>
    </row>
    <row r="12" spans="1:10" outlineLevel="1">
      <c r="A12" s="3">
        <v>8</v>
      </c>
      <c r="B12" s="7"/>
      <c r="C12" s="7"/>
      <c r="D12" s="3">
        <v>54</v>
      </c>
      <c r="E12" s="5">
        <v>5.9680225289999997</v>
      </c>
      <c r="F12" s="5">
        <v>5.9906563000000003E-2</v>
      </c>
      <c r="G12" s="6"/>
      <c r="H12" s="12"/>
      <c r="I12" s="3"/>
      <c r="J12" s="12"/>
    </row>
    <row r="13" spans="1:10" outlineLevel="1">
      <c r="A13" s="3">
        <v>9</v>
      </c>
      <c r="B13" s="7"/>
      <c r="C13" s="7"/>
      <c r="D13" s="3">
        <v>63</v>
      </c>
      <c r="E13" s="5">
        <v>6.9911105759999996</v>
      </c>
      <c r="F13" s="5">
        <v>8.2693401E-2</v>
      </c>
      <c r="G13" s="6"/>
      <c r="H13" s="12"/>
      <c r="I13" s="3"/>
      <c r="J13" s="12"/>
    </row>
    <row r="14" spans="1:10" outlineLevel="1">
      <c r="A14" s="3"/>
      <c r="B14" s="7"/>
      <c r="C14" s="7"/>
      <c r="D14" s="4">
        <v>72</v>
      </c>
      <c r="E14" s="15">
        <v>4.2805663540000003</v>
      </c>
      <c r="F14" s="15">
        <v>6.9440129999999997E-3</v>
      </c>
      <c r="G14" s="16"/>
      <c r="H14" s="17"/>
      <c r="I14" s="4"/>
      <c r="J14" s="17"/>
    </row>
    <row r="15" spans="1:10" outlineLevel="1">
      <c r="A15" s="3"/>
      <c r="B15" s="7"/>
      <c r="C15" s="7"/>
      <c r="D15" s="4">
        <v>78</v>
      </c>
      <c r="E15" s="15">
        <v>4.8450666299999998</v>
      </c>
      <c r="F15" s="15">
        <v>0.101145451</v>
      </c>
      <c r="G15" s="16"/>
      <c r="H15" s="17"/>
      <c r="I15" s="4"/>
      <c r="J15" s="17"/>
    </row>
    <row r="16" spans="1:10" outlineLevel="1">
      <c r="A16" s="3"/>
      <c r="B16" s="7"/>
      <c r="C16" s="7"/>
      <c r="D16" s="4"/>
      <c r="E16" s="15"/>
      <c r="F16" s="15"/>
      <c r="G16" s="16"/>
      <c r="H16" s="17"/>
      <c r="I16" s="4"/>
      <c r="J16" s="17"/>
    </row>
    <row r="17" spans="1:10" outlineLevel="1">
      <c r="A17" s="3"/>
      <c r="B17" s="7"/>
      <c r="C17" s="7"/>
      <c r="D17" s="4"/>
      <c r="E17" s="15"/>
      <c r="F17" s="15"/>
      <c r="G17" s="16"/>
      <c r="H17" s="17"/>
      <c r="I17" s="4"/>
      <c r="J17" s="17"/>
    </row>
    <row r="18" spans="1:10" ht="15.75" outlineLevel="1" thickBot="1">
      <c r="A18" s="3">
        <v>10</v>
      </c>
      <c r="B18" s="7"/>
      <c r="C18" s="9"/>
      <c r="D18" s="22"/>
      <c r="E18" s="15"/>
      <c r="F18" s="15"/>
      <c r="G18" s="16"/>
      <c r="H18" s="17"/>
      <c r="I18" s="4"/>
      <c r="J18" s="17"/>
    </row>
    <row r="19" spans="1:10" ht="15.75" thickBot="1">
      <c r="A19" s="3">
        <v>10</v>
      </c>
      <c r="B19" s="7" t="s">
        <v>16</v>
      </c>
      <c r="C19" s="21"/>
      <c r="D19" s="23" t="s">
        <v>22</v>
      </c>
      <c r="E19" s="24">
        <f>AVERAGE(E5,E9:E10,E12:E15)</f>
        <v>4.9656466379999999</v>
      </c>
      <c r="F19" s="25"/>
      <c r="G19" s="26"/>
      <c r="H19" s="27"/>
      <c r="I19" s="28"/>
      <c r="J19" s="20"/>
    </row>
    <row r="20" spans="1:10" outlineLevel="1">
      <c r="A20" s="3">
        <v>11</v>
      </c>
      <c r="B20" s="7"/>
      <c r="C20" s="7"/>
      <c r="D20" s="8">
        <v>10</v>
      </c>
      <c r="E20" s="10">
        <v>3.542798179</v>
      </c>
      <c r="F20" s="10">
        <v>4.2860099999999998E-2</v>
      </c>
      <c r="G20" s="11"/>
      <c r="H20" s="13"/>
      <c r="I20" s="8"/>
      <c r="J20" s="18"/>
    </row>
    <row r="21" spans="1:10" outlineLevel="1">
      <c r="A21" s="3">
        <v>12</v>
      </c>
      <c r="B21" s="7"/>
      <c r="C21" s="7"/>
      <c r="D21" s="3">
        <v>24</v>
      </c>
      <c r="E21" s="5">
        <v>7.4253166569999998</v>
      </c>
      <c r="F21" s="5">
        <v>5.7048755E-2</v>
      </c>
      <c r="G21" s="6"/>
      <c r="H21" s="12"/>
      <c r="I21" s="4" t="s">
        <v>81</v>
      </c>
      <c r="J21" s="17"/>
    </row>
    <row r="22" spans="1:10" outlineLevel="1">
      <c r="A22" s="3">
        <v>13</v>
      </c>
      <c r="B22" s="7"/>
      <c r="C22" s="7"/>
      <c r="D22" s="3">
        <v>36</v>
      </c>
      <c r="E22" s="5">
        <v>10.701180949999999</v>
      </c>
      <c r="F22" s="5">
        <v>0.88845083899999999</v>
      </c>
      <c r="G22" s="6"/>
      <c r="H22" s="12"/>
      <c r="I22" s="4"/>
      <c r="J22" s="17"/>
    </row>
    <row r="23" spans="1:10" outlineLevel="1">
      <c r="A23" s="3">
        <v>14</v>
      </c>
      <c r="B23" s="7"/>
      <c r="C23" s="7"/>
      <c r="D23" s="3">
        <v>39</v>
      </c>
      <c r="E23" s="5">
        <v>7.2038043270000003</v>
      </c>
      <c r="F23" s="5">
        <v>6.6264409999999996E-2</v>
      </c>
      <c r="G23" s="6"/>
      <c r="H23" s="12"/>
      <c r="I23" s="4"/>
      <c r="J23" s="17"/>
    </row>
    <row r="24" spans="1:10" outlineLevel="1">
      <c r="A24" s="3">
        <v>15</v>
      </c>
      <c r="B24" s="7"/>
      <c r="C24" s="7"/>
      <c r="D24" s="3">
        <v>45</v>
      </c>
      <c r="E24" s="5">
        <v>3.277446173</v>
      </c>
      <c r="F24" s="5">
        <v>1.5765016999999999E-2</v>
      </c>
      <c r="G24" s="6"/>
      <c r="H24" s="12"/>
      <c r="I24" s="4"/>
      <c r="J24" s="17"/>
    </row>
    <row r="25" spans="1:10" outlineLevel="1">
      <c r="A25" s="3">
        <v>16</v>
      </c>
      <c r="B25" s="7"/>
      <c r="C25" s="7"/>
      <c r="D25" s="3">
        <v>48</v>
      </c>
      <c r="E25" s="5">
        <v>6.1933853069999998</v>
      </c>
      <c r="F25" s="5">
        <v>4.6507900000000002E-4</v>
      </c>
      <c r="G25" s="6"/>
      <c r="H25" s="12"/>
      <c r="I25" s="4"/>
      <c r="J25" s="17"/>
    </row>
    <row r="26" spans="1:10" outlineLevel="1">
      <c r="A26" s="3">
        <v>17</v>
      </c>
      <c r="B26" s="7"/>
      <c r="C26" s="7"/>
      <c r="D26" s="3">
        <v>51</v>
      </c>
      <c r="E26" s="5">
        <v>7.7869171870000002</v>
      </c>
      <c r="F26" s="5">
        <v>8.3944569999999993E-3</v>
      </c>
      <c r="G26" s="6"/>
      <c r="H26" s="12"/>
      <c r="I26" s="4"/>
      <c r="J26" s="17"/>
    </row>
    <row r="27" spans="1:10" outlineLevel="1">
      <c r="A27" s="3">
        <v>18</v>
      </c>
      <c r="B27" s="7"/>
      <c r="C27" s="7"/>
      <c r="D27" s="3">
        <v>54</v>
      </c>
      <c r="E27" s="5">
        <v>6.2923482249999996</v>
      </c>
      <c r="F27" s="5">
        <v>5.7101180000000001E-3</v>
      </c>
      <c r="G27" s="6"/>
      <c r="H27" s="12"/>
      <c r="I27" s="4"/>
      <c r="J27" s="17"/>
    </row>
    <row r="28" spans="1:10" outlineLevel="1">
      <c r="A28" s="4">
        <v>19</v>
      </c>
      <c r="B28" s="7"/>
      <c r="C28" s="7"/>
      <c r="D28" s="4">
        <v>63</v>
      </c>
      <c r="E28" s="5">
        <v>7.2757575760000002</v>
      </c>
      <c r="F28" s="5">
        <v>5.9220968999999998E-2</v>
      </c>
      <c r="G28" s="6"/>
      <c r="H28" s="12"/>
      <c r="I28" s="4"/>
      <c r="J28" s="17"/>
    </row>
    <row r="29" spans="1:10" outlineLevel="1">
      <c r="A29" s="4"/>
      <c r="B29" s="7"/>
      <c r="C29" s="7"/>
      <c r="D29" s="4">
        <v>72</v>
      </c>
      <c r="E29" s="15">
        <v>4.1770587890000002</v>
      </c>
      <c r="F29" s="15">
        <v>1.844966E-3</v>
      </c>
      <c r="G29" s="16"/>
      <c r="H29" s="17"/>
      <c r="I29" s="4"/>
      <c r="J29" s="17"/>
    </row>
    <row r="30" spans="1:10" outlineLevel="1">
      <c r="A30" s="4"/>
      <c r="B30" s="7"/>
      <c r="C30" s="7"/>
      <c r="D30" s="4">
        <v>78</v>
      </c>
      <c r="E30" s="15">
        <v>5.2635111600000002</v>
      </c>
      <c r="F30" s="15">
        <v>1.1641517000000001E-2</v>
      </c>
      <c r="G30" s="16"/>
      <c r="H30" s="17"/>
      <c r="I30" s="4"/>
      <c r="J30" s="17"/>
    </row>
    <row r="31" spans="1:10" outlineLevel="1">
      <c r="A31" s="4"/>
      <c r="B31" s="7"/>
      <c r="C31" s="7"/>
      <c r="D31" s="4"/>
      <c r="E31" s="15"/>
      <c r="F31" s="15"/>
      <c r="G31" s="16"/>
      <c r="H31" s="17"/>
      <c r="I31" s="4"/>
      <c r="J31" s="17"/>
    </row>
    <row r="32" spans="1:10" ht="15.75" outlineLevel="1" thickBot="1">
      <c r="A32" s="3">
        <v>20</v>
      </c>
      <c r="B32" s="7"/>
      <c r="C32" s="7"/>
      <c r="D32" s="4"/>
      <c r="E32" s="15"/>
      <c r="F32" s="15"/>
      <c r="G32" s="16"/>
      <c r="H32" s="17"/>
      <c r="I32" s="4"/>
      <c r="J32" s="17"/>
    </row>
    <row r="33" spans="1:10" ht="15.75" thickBot="1">
      <c r="A33" s="3">
        <v>20</v>
      </c>
      <c r="B33" s="31"/>
      <c r="C33" s="19"/>
      <c r="D33" s="29" t="s">
        <v>22</v>
      </c>
      <c r="E33" s="24">
        <f>AVERAGE(E20:E21,E23:E30)</f>
        <v>5.8438343580000005</v>
      </c>
      <c r="F33" s="25"/>
      <c r="G33" s="26"/>
      <c r="H33" s="30"/>
      <c r="I33" s="28"/>
      <c r="J33" s="20"/>
    </row>
    <row r="45" spans="1:10" hidden="1"/>
    <row r="46" spans="1:10" hidden="1"/>
    <row r="47" spans="1:10" hidden="1"/>
    <row r="48" spans="1:10" hidden="1"/>
    <row r="49" hidden="1"/>
    <row r="50" hidden="1"/>
    <row r="51" hidden="1"/>
    <row r="52" hidden="1"/>
    <row r="53" hidden="1"/>
    <row r="54" hidden="1"/>
    <row r="55" collapsed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collapsed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collapsed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collapsed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collapsed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collapsed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collapsed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collapsed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collapsed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collapsed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collapsed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collapsed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collapsed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collapsed="1"/>
  </sheetData>
  <conditionalFormatting sqref="F5:F33"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tag xmlns="9f8affc1-1773-451c-8f00-5d38c91816ea" xsi:nil="true"/>
    <TaxCatchAll xmlns="679bc0a9-d706-43ab-8d4d-431ee86bcb8b" xsi:nil="true"/>
    <lcf76f155ced4ddcb4097134ff3c332f xmlns="9f8affc1-1773-451c-8f00-5d38c91816e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3" ma:contentTypeDescription="Create a new document." ma:contentTypeScope="" ma:versionID="c0e5238e2eb609ebe811ce3cf9e0d780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d9869028fe5b27865927f7933e2c5341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E8AC9-C253-46B4-821A-C796B1182310}"/>
</file>

<file path=customXml/itemProps2.xml><?xml version="1.0" encoding="utf-8"?>
<ds:datastoreItem xmlns:ds="http://schemas.openxmlformats.org/officeDocument/2006/customXml" ds:itemID="{1DAB0A76-1B92-438B-A157-44BB93C602AD}"/>
</file>

<file path=customXml/itemProps3.xml><?xml version="1.0" encoding="utf-8"?>
<ds:datastoreItem xmlns:ds="http://schemas.openxmlformats.org/officeDocument/2006/customXml" ds:itemID="{84F1A90C-9C00-480C-9DB4-6FAF81EBE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Aiman Hazim Shafizam</dc:creator>
  <cp:keywords/>
  <dc:description/>
  <cp:lastModifiedBy>Aiman Hazim Shafizam</cp:lastModifiedBy>
  <cp:revision/>
  <dcterms:created xsi:type="dcterms:W3CDTF">2015-06-05T18:17:20Z</dcterms:created>
  <dcterms:modified xsi:type="dcterms:W3CDTF">2025-08-04T09:17:52Z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  <property fmtid="{D5CDD505-2E9C-101B-9397-08002B2CF9AE}" pid="3" name="MediaServiceImageTags">
    <vt:lpwstr/>
  </property>
</Properties>
</file>